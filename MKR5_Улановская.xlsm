
<file path=[Content_Types].xml><?xml version="1.0" encoding="utf-8"?>
<Types xmlns="http://schemas.openxmlformats.org/package/2006/content-types"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drawings/drawing6.xml" ContentType="application/vnd.openxmlformats-officedocument.drawing+xml"/>
  <Override PartName="/xl/charts/style6.xml" ContentType="application/vnd.ms-office.chartstyle+xml"/>
  <Override PartName="/xl/charts/colors17.xml" ContentType="application/vnd.ms-office.chartcolorstyle+xml"/>
  <Override PartName="/xl/charts/style18.xml" ContentType="application/vnd.ms-office.chartstyle+xml"/>
  <Override PartName="/xl/drawings/drawing17.xml" ContentType="application/vnd.openxmlformats-officedocument.drawingml.chartshapes+xml"/>
  <Override PartName="/xl/drawings/drawing28.xml" ContentType="application/vnd.openxmlformats-officedocument.drawingml.chartshapes+xml"/>
  <Override PartName="/xl/vbaProject.bin" ContentType="application/vnd.ms-office.vbaProject"/>
  <Override PartName="/xl/charts/colors24.xml" ContentType="application/vnd.ms-office.chartcolorstyle+xml"/>
  <Default Extension="xml" ContentType="application/xml"/>
  <Override PartName="/xl/drawings/drawing2.xml" ContentType="application/vnd.openxmlformats-officedocument.drawingml.chartshapes+xml"/>
  <Override PartName="/xl/charts/style2.xml" ContentType="application/vnd.ms-office.chartstyle+xml"/>
  <Override PartName="/xl/charts/style14.xml" ContentType="application/vnd.ms-office.chartstyle+xml"/>
  <Override PartName="/xl/charts/colors13.xml" ContentType="application/vnd.ms-office.chartcolorstyle+xml"/>
  <Override PartName="/xl/charts/colors9.xml" ContentType="application/vnd.ms-office.chartcolorstyle+xml"/>
  <Override PartName="/xl/worksheets/sheet3.xml" ContentType="application/vnd.openxmlformats-officedocument.spreadsheetml.worksheet+xml"/>
  <Override PartName="/xl/drawings/drawing13.xml" ContentType="application/vnd.openxmlformats-officedocument.drawingml.chartshapes+xml"/>
  <Override PartName="/xl/drawings/drawing24.xml" ContentType="application/vnd.openxmlformats-officedocument.drawingml.chartshapes+xml"/>
  <Override PartName="/xl/charts/colors20.xml" ContentType="application/vnd.ms-office.chartcolorstyle+xml"/>
  <Override PartName="/xl/charts/style21.xml" ContentType="application/vnd.ms-office.chartstyle+xml"/>
  <Override PartName="/xl/worksheets/sheet1.xml" ContentType="application/vnd.openxmlformats-officedocument.spreadsheetml.worksheet+xml"/>
  <Override PartName="/xl/drawings/drawing11.xml" ContentType="application/vnd.openxmlformats-officedocument.drawing+xml"/>
  <Override PartName="/xl/charts/chart16.xml" ContentType="application/vnd.openxmlformats-officedocument.drawingml.chart+xml"/>
  <Override PartName="/xl/drawings/drawing20.xml" ContentType="application/vnd.openxmlformats-officedocument.drawingml.chartshapes+xml"/>
  <Override PartName="/xl/charts/style10.xml" ContentType="application/vnd.ms-office.chartstyle+xml"/>
  <Override PartName="/xl/ctrlProps/ctrlProp6.xml" ContentType="application/vnd.ms-excel.controlproperties+xml"/>
  <Override PartName="/xl/charts/colors5.xml" ContentType="application/vnd.ms-office.chartcolorstyle+xml"/>
  <Override PartName="/xl/sharedStrings.xml" ContentType="application/vnd.openxmlformats-officedocument.spreadsheetml.sharedStrings+xml"/>
  <Override PartName="/xl/charts/chart14.xml" ContentType="application/vnd.openxmlformats-officedocument.drawingml.chart+xml"/>
  <Override PartName="/xl/charts/chart23.xml" ContentType="application/vnd.openxmlformats-officedocument.drawingml.chart+xml"/>
  <Override PartName="/xl/ctrlProps/ctrlProp4.xml" ContentType="application/vnd.ms-excel.controlproperties+xml"/>
  <Override PartName="/xl/charts/colors3.xml" ContentType="application/vnd.ms-office.chartcolorstyle+xml"/>
  <Override PartName="/xl/charts/chart9.xml" ContentType="application/vnd.openxmlformats-officedocument.drawingml.chart+xml"/>
  <Override PartName="/xl/charts/chart12.xml" ContentType="application/vnd.openxmlformats-officedocument.drawingml.chart+xml"/>
  <Override PartName="/xl/charts/chart21.xml" ContentType="application/vnd.openxmlformats-officedocument.drawingml.chart+xml"/>
  <Override PartName="/xl/ctrlProps/ctrlProp2.xml" ContentType="application/vnd.ms-excel.controlproperties+xml"/>
  <Override PartName="/xl/charts/colors1.xml" ContentType="application/vnd.ms-office.chartcolorstyle+xml"/>
  <Default Extension="bin" ContentType="application/vnd.openxmlformats-officedocument.spreadsheetml.printerSettings"/>
  <Override PartName="/xl/charts/chart7.xml" ContentType="application/vnd.openxmlformats-officedocument.drawingml.chart+xml"/>
  <Override PartName="/xl/drawings/drawing9.xml" ContentType="application/vnd.openxmlformats-officedocument.drawingml.chartshapes+xml"/>
  <Override PartName="/xl/charts/chart10.xml" ContentType="application/vnd.openxmlformats-officedocument.drawingml.chart+xml"/>
  <Override PartName="/xl/charts/style9.xml" ContentType="application/vnd.ms-office.chartstyle+xml"/>
  <Override PartName="/xl/charts/chart5.xml" ContentType="application/vnd.openxmlformats-officedocument.drawingml.chart+xml"/>
  <Override PartName="/xl/drawings/drawing7.xml" ContentType="application/vnd.openxmlformats-officedocument.drawingml.chartshapes+xml"/>
  <Override PartName="/xl/drawings/drawing29.xml" ContentType="application/vnd.openxmlformats-officedocument.drawingml.chartshapes+xml"/>
  <Override PartName="/xl/charts/style19.xml" ContentType="application/vnd.ms-office.chartstyle+xml"/>
  <Override PartName="/xl/charts/style7.xml" ContentType="application/vnd.ms-office.chartstyle+xml"/>
  <Override PartName="/xl/charts/colors18.xml" ContentType="application/vnd.ms-office.chartcolorstyle+xml"/>
  <Override PartName="/xl/worksheets/sheet6.xml" ContentType="application/vnd.openxmlformats-officedocument.spreadsheetml.worksheet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drawings/drawing18.xml" ContentType="application/vnd.openxmlformats-officedocument.drawingml.chartshapes+xml"/>
  <Override PartName="/xl/drawings/drawing27.xml" ContentType="application/vnd.openxmlformats-officedocument.drawingml.chartshapes+xml"/>
  <Override PartName="/xl/charts/style17.xml" ContentType="application/vnd.ms-office.chartstyle+xml"/>
  <Override PartName="/xl/charts/colors16.xml" ContentType="application/vnd.ms-office.chartcolorstyle+xml"/>
  <Override PartName="/xl/charts/style5.xml" ContentType="application/vnd.ms-office.chartstyle+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drawings/drawing16.xml" ContentType="application/vnd.openxmlformats-officedocument.drawing+xml"/>
  <Override PartName="/xl/drawings/drawing25.xml" ContentType="application/vnd.openxmlformats-officedocument.drawingml.chartshapes+xml"/>
  <Override PartName="/xl/charts/colors8.xml" ContentType="application/vnd.ms-office.chartcolorstyle+xml"/>
  <Override PartName="/xl/charts/style1.xml" ContentType="application/vnd.ms-office.chartstyle+xml"/>
  <Override PartName="/xl/charts/colors14.xml" ContentType="application/vnd.ms-office.chartcolorstyle+xml"/>
  <Override PartName="/xl/charts/style15.xml" ContentType="application/vnd.ms-office.chartstyle+xml"/>
  <Override PartName="/xl/charts/style24.xml" ContentType="application/vnd.ms-office.chartstyle+xml"/>
  <Override PartName="/xl/charts/colors23.xml" ContentType="application/vnd.ms-office.chartcolorstyle+xml"/>
  <Override PartName="/xl/charts/style3.xml" ContentType="application/vnd.ms-office.chartstyle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drawings/drawing1.xml" ContentType="application/vnd.openxmlformats-officedocument.drawing+xml"/>
  <Override PartName="/xl/drawings/drawing14.xml" ContentType="application/vnd.openxmlformats-officedocument.drawingml.chartshapes+xml"/>
  <Override PartName="/xl/drawings/drawing23.xml" ContentType="application/vnd.openxmlformats-officedocument.drawingml.chartshapes+xml"/>
  <Override PartName="/xl/charts/chart19.xml" ContentType="application/vnd.openxmlformats-officedocument.drawingml.chart+xml"/>
  <Override PartName="/xl/charts/colors6.xml" ContentType="application/vnd.ms-office.chartcolorstyle+xml"/>
  <Override PartName="/xl/charts/colors12.xml" ContentType="application/vnd.ms-office.chartcolorstyle+xml"/>
  <Override PartName="/xl/charts/style13.xml" ContentType="application/vnd.ms-office.chartstyle+xml"/>
  <Override PartName="/xl/charts/style22.xml" ContentType="application/vnd.ms-office.chartstyle+xml"/>
  <Override PartName="/xl/charts/colors21.xml" ContentType="application/vnd.ms-office.chartcolorstyle+xml"/>
  <Default Extension="vml" ContentType="application/vnd.openxmlformats-officedocument.vmlDrawing"/>
  <Override PartName="/xl/drawings/drawing12.xml" ContentType="application/vnd.openxmlformats-officedocument.drawingml.chartshapes+xml"/>
  <Override PartName="/xl/drawings/drawing21.xml" ContentType="application/vnd.openxmlformats-officedocument.drawing+xml"/>
  <Override PartName="/xl/charts/chart17.xml" ContentType="application/vnd.openxmlformats-officedocument.drawingml.chart+xml"/>
  <Override PartName="/xl/drawings/drawing30.xml" ContentType="application/vnd.openxmlformats-officedocument.drawingml.chartshapes+xml"/>
  <Override PartName="/xl/calcChain.xml" ContentType="application/vnd.openxmlformats-officedocument.spreadsheetml.calcChain+xml"/>
  <Override PartName="/xl/charts/colors4.xml" ContentType="application/vnd.ms-office.chartcolorstyle+xml"/>
  <Override PartName="/xl/ctrlProps/ctrlProp5.xml" ContentType="application/vnd.ms-excel.controlproperties+xml"/>
  <Override PartName="/xl/charts/colors10.xml" ContentType="application/vnd.ms-office.chartcolorstyle+xml"/>
  <Override PartName="/xl/charts/style11.xml" ContentType="application/vnd.ms-office.chartstyle+xml"/>
  <Override PartName="/xl/charts/style20.xml" ContentType="application/vnd.ms-office.chartstyle+xml"/>
  <Override PartName="/xl/drawings/drawing10.xml" ContentType="application/vnd.openxmlformats-officedocument.drawingml.chartshapes+xml"/>
  <Override PartName="/xl/charts/chart13.xml" ContentType="application/vnd.openxmlformats-officedocument.drawingml.chart+xml"/>
  <Override PartName="/xl/charts/chart15.xml" ContentType="application/vnd.openxmlformats-officedocument.drawingml.chart+xml"/>
  <Override PartName="/xl/charts/chart24.xml" ContentType="application/vnd.openxmlformats-officedocument.drawingml.chart+xml"/>
  <Override PartName="/xl/charts/colors2.xml" ContentType="application/vnd.ms-office.chartcolorstyle+xml"/>
  <Override PartName="/xl/ctrlProps/ctrlProp3.xml" ContentType="application/vnd.ms-excel.controlproperties+xml"/>
  <Override PartName="/xl/charts/chart8.xml" ContentType="application/vnd.openxmlformats-officedocument.drawingml.chart+xml"/>
  <Override PartName="/xl/charts/chart11.xml" ContentType="application/vnd.openxmlformats-officedocument.drawingml.chart+xml"/>
  <Override PartName="/xl/charts/chart22.xml" ContentType="application/vnd.openxmlformats-officedocument.drawingml.chart+xml"/>
  <Override PartName="/xl/ctrlProps/ctrlProp1.xml" ContentType="application/vnd.ms-excel.controlproperties+xml"/>
  <Override PartName="/docProps/core.xml" ContentType="application/vnd.openxmlformats-package.core-properties+xml"/>
  <Override PartName="/xl/charts/chart6.xml" ContentType="application/vnd.openxmlformats-officedocument.drawingml.chart+xml"/>
  <Override PartName="/xl/charts/chart20.xml" ContentType="application/vnd.openxmlformats-officedocument.drawingml.chart+xml"/>
  <Override PartName="/xl/charts/style8.xml" ContentType="application/vnd.ms-office.chartstyle+xml"/>
  <Override PartName="/xl/charts/colors19.xml" ContentType="application/vnd.ms-office.chartcolorstyle+xml"/>
  <Override PartName="/xl/theme/theme1.xml" ContentType="application/vnd.openxmlformats-officedocument.theme+xml"/>
  <Override PartName="/xl/drawings/drawing8.xml" ContentType="application/vnd.openxmlformats-officedocument.drawingml.chartshapes+xml"/>
  <Override PartName="/xl/drawings/drawing19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style4.xml" ContentType="application/vnd.ms-office.chartstyle+xml"/>
  <Override PartName="/xl/charts/colors15.xml" ContentType="application/vnd.ms-office.chartcolorstyle+xml"/>
  <Override PartName="/xl/charts/style16.xml" ContentType="application/vnd.ms-office.chartstyle+xml"/>
  <Default Extension="rels" ContentType="application/vnd.openxmlformats-package.relationships+xml"/>
  <Override PartName="/xl/worksheets/sheet5.xml" ContentType="application/vnd.openxmlformats-officedocument.spreadsheetml.worksheet+xml"/>
  <Override PartName="/xl/drawings/drawing15.xml" ContentType="application/vnd.openxmlformats-officedocument.drawingml.chartshapes+xml"/>
  <Override PartName="/xl/drawings/drawing26.xml" ContentType="application/vnd.openxmlformats-officedocument.drawing+xml"/>
  <Override PartName="/xl/charts/colors22.xml" ContentType="application/vnd.ms-office.chartcolorstyle+xml"/>
  <Override PartName="/xl/charts/style23.xml" ContentType="application/vnd.ms-office.chartstyle+xml"/>
  <Override PartName="/xl/drawings/drawing22.xml" ContentType="application/vnd.openxmlformats-officedocument.drawingml.chartshapes+xml"/>
  <Override PartName="/xl/charts/chart18.xml" ContentType="application/vnd.openxmlformats-officedocument.drawingml.chart+xml"/>
  <Override PartName="/xl/charts/style12.xml" ContentType="application/vnd.ms-office.chartstyle+xml"/>
  <Override PartName="/xl/charts/colors11.xml" ContentType="application/vnd.ms-office.chartcolorstyle+xml"/>
  <Override PartName="/xl/charts/colors7.xml" ContentType="application/vnd.ms-office.chartcolorstyl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6" rupBuild="4507" codeName="{7A2D7E96-6E34-419A-AE5F-296B3A7E7977}"/>
  <workbookPr codeName="ЭтаКнига"/>
  <bookViews>
    <workbookView xWindow="0" yWindow="0" windowWidth="15765" windowHeight="7755" activeTab="4"/>
  </bookViews>
  <sheets>
    <sheet name="const_p135" sheetId="1" r:id="rId1"/>
    <sheet name="var_p135" sheetId="3" r:id="rId2"/>
    <sheet name="const_p105" sheetId="5" r:id="rId3"/>
    <sheet name="var_p105" sheetId="4" r:id="rId4"/>
    <sheet name="const_M1,5" sheetId="6" r:id="rId5"/>
    <sheet name="var_M1,5" sheetId="7" r:id="rId6"/>
  </sheets>
  <calcPr calcId="12572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N18" i="7"/>
  <c r="N19" s="1"/>
  <c r="N21" s="1"/>
  <c r="P17"/>
  <c r="P18" s="1"/>
  <c r="P19" s="1"/>
  <c r="P21" s="1"/>
  <c r="N17"/>
  <c r="L17"/>
  <c r="L18" s="1"/>
  <c r="L19" s="1"/>
  <c r="L21" s="1"/>
  <c r="H17"/>
  <c r="H18" s="1"/>
  <c r="H19" s="1"/>
  <c r="H21" s="1"/>
  <c r="Q14"/>
  <c r="Q13"/>
  <c r="Q17" s="1"/>
  <c r="P13"/>
  <c r="O13"/>
  <c r="O17" s="1"/>
  <c r="O18" s="1"/>
  <c r="N13"/>
  <c r="M13"/>
  <c r="L13"/>
  <c r="K13"/>
  <c r="K17" s="1"/>
  <c r="K18" s="1"/>
  <c r="K19" s="1"/>
  <c r="K21" s="1"/>
  <c r="J13"/>
  <c r="J17" s="1"/>
  <c r="J18" s="1"/>
  <c r="I13"/>
  <c r="I17" s="1"/>
  <c r="I18" s="1"/>
  <c r="H13"/>
  <c r="Q4"/>
  <c r="Q10" s="1"/>
  <c r="H4"/>
  <c r="H10" s="1"/>
  <c r="G4"/>
  <c r="H3"/>
  <c r="I3" s="1"/>
  <c r="H2"/>
  <c r="I2" s="1"/>
  <c r="J2" s="1"/>
  <c r="K2" s="1"/>
  <c r="L2" s="1"/>
  <c r="M2" s="1"/>
  <c r="N2" s="1"/>
  <c r="O2" s="1"/>
  <c r="P2" s="1"/>
  <c r="Q2" s="1"/>
  <c r="C4"/>
  <c r="P17" i="6"/>
  <c r="P18" s="1"/>
  <c r="J17"/>
  <c r="J18" s="1"/>
  <c r="J19" s="1"/>
  <c r="H17"/>
  <c r="H18" s="1"/>
  <c r="Q15"/>
  <c r="P15"/>
  <c r="O15"/>
  <c r="N15"/>
  <c r="M15"/>
  <c r="L15"/>
  <c r="K15"/>
  <c r="J15"/>
  <c r="I15"/>
  <c r="H15"/>
  <c r="G15"/>
  <c r="Q14"/>
  <c r="Q13"/>
  <c r="P13"/>
  <c r="P19" s="1"/>
  <c r="O13"/>
  <c r="O17" s="1"/>
  <c r="O18" s="1"/>
  <c r="N13"/>
  <c r="N17" s="1"/>
  <c r="N18" s="1"/>
  <c r="M13"/>
  <c r="M17" s="1"/>
  <c r="M18" s="1"/>
  <c r="L13"/>
  <c r="L17" s="1"/>
  <c r="L18" s="1"/>
  <c r="L19" s="1"/>
  <c r="K13"/>
  <c r="K17" s="1"/>
  <c r="K18" s="1"/>
  <c r="J13"/>
  <c r="I13"/>
  <c r="H13"/>
  <c r="Q4"/>
  <c r="Q10" s="1"/>
  <c r="H4"/>
  <c r="G13" s="1"/>
  <c r="G4"/>
  <c r="I3"/>
  <c r="J3" s="1"/>
  <c r="H3"/>
  <c r="I2"/>
  <c r="J2" s="1"/>
  <c r="K2" s="1"/>
  <c r="L2" s="1"/>
  <c r="M2" s="1"/>
  <c r="N2" s="1"/>
  <c r="O2" s="1"/>
  <c r="P2" s="1"/>
  <c r="Q2" s="1"/>
  <c r="H2"/>
  <c r="C4"/>
  <c r="H18" i="4"/>
  <c r="H19" s="1"/>
  <c r="H21" s="1"/>
  <c r="P17"/>
  <c r="P18" s="1"/>
  <c r="P19" s="1"/>
  <c r="P21" s="1"/>
  <c r="N17"/>
  <c r="N18" s="1"/>
  <c r="N19" s="1"/>
  <c r="N21" s="1"/>
  <c r="J17"/>
  <c r="J18" s="1"/>
  <c r="J19" s="1"/>
  <c r="J21" s="1"/>
  <c r="H17"/>
  <c r="Q14"/>
  <c r="Q13"/>
  <c r="Q17" s="1"/>
  <c r="Q18" s="1"/>
  <c r="P13"/>
  <c r="O13"/>
  <c r="O17" s="1"/>
  <c r="O18" s="1"/>
  <c r="N13"/>
  <c r="M13"/>
  <c r="L13"/>
  <c r="K13"/>
  <c r="K17" s="1"/>
  <c r="K18" s="1"/>
  <c r="J13"/>
  <c r="I13"/>
  <c r="I17" s="1"/>
  <c r="I18" s="1"/>
  <c r="H13"/>
  <c r="Q4"/>
  <c r="H4"/>
  <c r="H10" s="1"/>
  <c r="G4"/>
  <c r="H3"/>
  <c r="I3" s="1"/>
  <c r="H2"/>
  <c r="I2" s="1"/>
  <c r="J2" s="1"/>
  <c r="K2" s="1"/>
  <c r="L2" s="1"/>
  <c r="M2" s="1"/>
  <c r="N2" s="1"/>
  <c r="O2" s="1"/>
  <c r="P2" s="1"/>
  <c r="Q2" s="1"/>
  <c r="Q17" i="5"/>
  <c r="Q18" s="1"/>
  <c r="Q19" s="1"/>
  <c r="P17"/>
  <c r="P18" s="1"/>
  <c r="I17"/>
  <c r="I18" s="1"/>
  <c r="I19" s="1"/>
  <c r="H17"/>
  <c r="H18" s="1"/>
  <c r="Q14"/>
  <c r="Q13"/>
  <c r="P13"/>
  <c r="P19" s="1"/>
  <c r="O13"/>
  <c r="O17" s="1"/>
  <c r="O18" s="1"/>
  <c r="N13"/>
  <c r="N17" s="1"/>
  <c r="N18" s="1"/>
  <c r="M13"/>
  <c r="M17" s="1"/>
  <c r="M18" s="1"/>
  <c r="L13"/>
  <c r="L17" s="1"/>
  <c r="L18" s="1"/>
  <c r="K13"/>
  <c r="K17" s="1"/>
  <c r="K18" s="1"/>
  <c r="K19" s="1"/>
  <c r="J13"/>
  <c r="J17" s="1"/>
  <c r="J18" s="1"/>
  <c r="J19" s="1"/>
  <c r="I13"/>
  <c r="H13"/>
  <c r="H19" s="1"/>
  <c r="Q10"/>
  <c r="Q4"/>
  <c r="G4"/>
  <c r="H3"/>
  <c r="H4" s="1"/>
  <c r="I2"/>
  <c r="J2" s="1"/>
  <c r="K2" s="1"/>
  <c r="L2" s="1"/>
  <c r="M2" s="1"/>
  <c r="N2" s="1"/>
  <c r="O2" s="1"/>
  <c r="P2" s="1"/>
  <c r="Q2" s="1"/>
  <c r="H2"/>
  <c r="C4"/>
  <c r="C4" i="4"/>
  <c r="H2" i="3"/>
  <c r="I2" s="1"/>
  <c r="J2" s="1"/>
  <c r="K2" s="1"/>
  <c r="L2" s="1"/>
  <c r="M2" s="1"/>
  <c r="N2" s="1"/>
  <c r="O2" s="1"/>
  <c r="P2" s="1"/>
  <c r="Q2" s="1"/>
  <c r="H3"/>
  <c r="I3" s="1"/>
  <c r="G4"/>
  <c r="G10" s="1"/>
  <c r="H4"/>
  <c r="Q4"/>
  <c r="Q10" s="1"/>
  <c r="H10"/>
  <c r="G13"/>
  <c r="H13"/>
  <c r="I13"/>
  <c r="J13"/>
  <c r="K13"/>
  <c r="L13"/>
  <c r="L17" s="1"/>
  <c r="L18" s="1"/>
  <c r="M13"/>
  <c r="N13"/>
  <c r="O13"/>
  <c r="P13"/>
  <c r="Q13"/>
  <c r="G14"/>
  <c r="G15" s="1"/>
  <c r="Q14"/>
  <c r="Q15" s="1"/>
  <c r="G17"/>
  <c r="G18" s="1"/>
  <c r="G19" s="1"/>
  <c r="G21" s="1"/>
  <c r="H17"/>
  <c r="I17"/>
  <c r="I18" s="1"/>
  <c r="I19" s="1"/>
  <c r="I21" s="1"/>
  <c r="I22" s="1"/>
  <c r="K17"/>
  <c r="K18" s="1"/>
  <c r="K19" s="1"/>
  <c r="K21" s="1"/>
  <c r="K22" s="1"/>
  <c r="M17"/>
  <c r="N17"/>
  <c r="O17"/>
  <c r="O18" s="1"/>
  <c r="O19" s="1"/>
  <c r="O21" s="1"/>
  <c r="P17"/>
  <c r="Q17"/>
  <c r="Q18" s="1"/>
  <c r="Q19" s="1"/>
  <c r="Q21" s="1"/>
  <c r="Q22" s="1"/>
  <c r="Q23" s="1"/>
  <c r="H18"/>
  <c r="H19" s="1"/>
  <c r="H21" s="1"/>
  <c r="M18"/>
  <c r="N18"/>
  <c r="N19" s="1"/>
  <c r="N21" s="1"/>
  <c r="P18"/>
  <c r="P19" s="1"/>
  <c r="P21" s="1"/>
  <c r="M19"/>
  <c r="M21" s="1"/>
  <c r="C4"/>
  <c r="Q15" i="7" l="1"/>
  <c r="Q18"/>
  <c r="Q19" s="1"/>
  <c r="Q21" s="1"/>
  <c r="K22"/>
  <c r="K20"/>
  <c r="H20"/>
  <c r="H22"/>
  <c r="I4"/>
  <c r="I10" s="1"/>
  <c r="H11" s="1"/>
  <c r="H14" s="1"/>
  <c r="J3"/>
  <c r="L22"/>
  <c r="L20"/>
  <c r="M19"/>
  <c r="M21" s="1"/>
  <c r="P20"/>
  <c r="P22"/>
  <c r="N20"/>
  <c r="N22"/>
  <c r="M17"/>
  <c r="M18" s="1"/>
  <c r="O19"/>
  <c r="O21" s="1"/>
  <c r="G13"/>
  <c r="I19"/>
  <c r="I21" s="1"/>
  <c r="J19"/>
  <c r="J21" s="1"/>
  <c r="J4" i="6"/>
  <c r="J10" s="1"/>
  <c r="K3"/>
  <c r="G10"/>
  <c r="G17"/>
  <c r="G18" s="1"/>
  <c r="G19"/>
  <c r="G14"/>
  <c r="Q19"/>
  <c r="I19"/>
  <c r="H19"/>
  <c r="I4"/>
  <c r="I10" s="1"/>
  <c r="I17"/>
  <c r="I18" s="1"/>
  <c r="Q17"/>
  <c r="Q18" s="1"/>
  <c r="K19"/>
  <c r="H10"/>
  <c r="H11" s="1"/>
  <c r="H14" s="1"/>
  <c r="M19"/>
  <c r="N19"/>
  <c r="O19"/>
  <c r="I11"/>
  <c r="I14" s="1"/>
  <c r="H11" i="4"/>
  <c r="H14" s="1"/>
  <c r="I4"/>
  <c r="I10" s="1"/>
  <c r="J3"/>
  <c r="J20"/>
  <c r="J22"/>
  <c r="H20"/>
  <c r="H22"/>
  <c r="N20"/>
  <c r="N22"/>
  <c r="P20"/>
  <c r="P22"/>
  <c r="Q10"/>
  <c r="L17"/>
  <c r="L18" s="1"/>
  <c r="L19" s="1"/>
  <c r="L21" s="1"/>
  <c r="M17"/>
  <c r="M18" s="1"/>
  <c r="M19" s="1"/>
  <c r="M21" s="1"/>
  <c r="O19"/>
  <c r="O21" s="1"/>
  <c r="G13"/>
  <c r="Q15"/>
  <c r="I19"/>
  <c r="I21" s="1"/>
  <c r="Q19"/>
  <c r="Q21" s="1"/>
  <c r="K19"/>
  <c r="K21" s="1"/>
  <c r="H10" i="5"/>
  <c r="G13"/>
  <c r="I3"/>
  <c r="L19"/>
  <c r="M19"/>
  <c r="N19"/>
  <c r="O19"/>
  <c r="N20" i="3"/>
  <c r="N22"/>
  <c r="G20"/>
  <c r="G22"/>
  <c r="G23" s="1"/>
  <c r="P20"/>
  <c r="P22"/>
  <c r="H20"/>
  <c r="H22"/>
  <c r="J3"/>
  <c r="I4"/>
  <c r="I10" s="1"/>
  <c r="H11" s="1"/>
  <c r="H14" s="1"/>
  <c r="H15" s="1"/>
  <c r="O20"/>
  <c r="O22"/>
  <c r="M22"/>
  <c r="M20"/>
  <c r="L19"/>
  <c r="L21" s="1"/>
  <c r="J17"/>
  <c r="J18" s="1"/>
  <c r="J19" s="1"/>
  <c r="J21" s="1"/>
  <c r="J22" s="1"/>
  <c r="K20"/>
  <c r="J20"/>
  <c r="Q20"/>
  <c r="I20"/>
  <c r="Q14" i="1"/>
  <c r="G4"/>
  <c r="G13"/>
  <c r="J13"/>
  <c r="P13"/>
  <c r="H13"/>
  <c r="N13"/>
  <c r="O13"/>
  <c r="Q13"/>
  <c r="H4"/>
  <c r="Q4"/>
  <c r="I3"/>
  <c r="J3" s="1"/>
  <c r="K3" s="1"/>
  <c r="L3" s="1"/>
  <c r="M3" s="1"/>
  <c r="N3" s="1"/>
  <c r="O3" s="1"/>
  <c r="P3" s="1"/>
  <c r="P4" s="1"/>
  <c r="H3"/>
  <c r="C4"/>
  <c r="H2" s="1"/>
  <c r="I2" s="1"/>
  <c r="J2" s="1"/>
  <c r="K2" s="1"/>
  <c r="L2" s="1"/>
  <c r="M2" s="1"/>
  <c r="N2" s="1"/>
  <c r="O2" s="1"/>
  <c r="P2" s="1"/>
  <c r="Q2" s="1"/>
  <c r="H23" i="7" l="1"/>
  <c r="H15"/>
  <c r="Q20"/>
  <c r="Q22"/>
  <c r="Q23" s="1"/>
  <c r="O20"/>
  <c r="O22"/>
  <c r="I20"/>
  <c r="I22"/>
  <c r="G10"/>
  <c r="G14"/>
  <c r="G17"/>
  <c r="G18" s="1"/>
  <c r="G19"/>
  <c r="G21" s="1"/>
  <c r="M20"/>
  <c r="M22"/>
  <c r="J20"/>
  <c r="J22"/>
  <c r="J4"/>
  <c r="J10" s="1"/>
  <c r="I11" s="1"/>
  <c r="I14" s="1"/>
  <c r="K3"/>
  <c r="K4" i="6"/>
  <c r="K10" s="1"/>
  <c r="L3"/>
  <c r="J11"/>
  <c r="J14" s="1"/>
  <c r="M20" i="4"/>
  <c r="M22"/>
  <c r="L22"/>
  <c r="L20"/>
  <c r="Q20"/>
  <c r="Q22"/>
  <c r="Q23" s="1"/>
  <c r="I20"/>
  <c r="I22"/>
  <c r="H23"/>
  <c r="H15"/>
  <c r="G10"/>
  <c r="G14"/>
  <c r="G17"/>
  <c r="G18" s="1"/>
  <c r="G19" s="1"/>
  <c r="G21" s="1"/>
  <c r="K3"/>
  <c r="J4"/>
  <c r="J10" s="1"/>
  <c r="K22"/>
  <c r="K20"/>
  <c r="O20"/>
  <c r="O22"/>
  <c r="I4" i="5"/>
  <c r="I10" s="1"/>
  <c r="J3"/>
  <c r="G17"/>
  <c r="G18" s="1"/>
  <c r="G19" s="1"/>
  <c r="G10"/>
  <c r="G14"/>
  <c r="K3" i="3"/>
  <c r="J4"/>
  <c r="J10" s="1"/>
  <c r="H23"/>
  <c r="L20"/>
  <c r="L22"/>
  <c r="P10" i="1"/>
  <c r="H10"/>
  <c r="G10"/>
  <c r="Q17"/>
  <c r="Q18" s="1"/>
  <c r="Q19" s="1"/>
  <c r="O17"/>
  <c r="O18" s="1"/>
  <c r="O19" s="1"/>
  <c r="N17"/>
  <c r="N18" s="1"/>
  <c r="N19" s="1"/>
  <c r="Q10"/>
  <c r="I4"/>
  <c r="G14"/>
  <c r="J17"/>
  <c r="J18" s="1"/>
  <c r="J19" s="1"/>
  <c r="M13"/>
  <c r="P17"/>
  <c r="P18" s="1"/>
  <c r="P19" s="1"/>
  <c r="H17"/>
  <c r="H18" s="1"/>
  <c r="H19" s="1"/>
  <c r="N4"/>
  <c r="N10" s="1"/>
  <c r="L13"/>
  <c r="G17"/>
  <c r="G18" s="1"/>
  <c r="G19" s="1"/>
  <c r="O4"/>
  <c r="O10" s="1"/>
  <c r="O11" s="1"/>
  <c r="O14" s="1"/>
  <c r="M4"/>
  <c r="K13"/>
  <c r="J4"/>
  <c r="J10" s="1"/>
  <c r="L4"/>
  <c r="K4"/>
  <c r="I13"/>
  <c r="I23" i="7" l="1"/>
  <c r="I15"/>
  <c r="K4"/>
  <c r="K10" s="1"/>
  <c r="L3"/>
  <c r="G20"/>
  <c r="G22"/>
  <c r="G23" s="1"/>
  <c r="J11"/>
  <c r="J14" s="1"/>
  <c r="G15"/>
  <c r="L4" i="6"/>
  <c r="L10" s="1"/>
  <c r="M3"/>
  <c r="K11"/>
  <c r="K14" s="1"/>
  <c r="G20" i="4"/>
  <c r="G22"/>
  <c r="I11"/>
  <c r="I14" s="1"/>
  <c r="L3"/>
  <c r="K4"/>
  <c r="K10" s="1"/>
  <c r="J11" s="1"/>
  <c r="J14" s="1"/>
  <c r="G23"/>
  <c r="G15"/>
  <c r="J4" i="5"/>
  <c r="J10" s="1"/>
  <c r="I11" s="1"/>
  <c r="I14" s="1"/>
  <c r="K3"/>
  <c r="H11"/>
  <c r="H14" s="1"/>
  <c r="K4" i="3"/>
  <c r="K10" s="1"/>
  <c r="L3"/>
  <c r="I11"/>
  <c r="I14" s="1"/>
  <c r="G11" i="1"/>
  <c r="P11"/>
  <c r="P14" s="1"/>
  <c r="L10"/>
  <c r="I10"/>
  <c r="H11" s="1"/>
  <c r="H14" s="1"/>
  <c r="M10"/>
  <c r="M11" s="1"/>
  <c r="M14" s="1"/>
  <c r="N11"/>
  <c r="N14" s="1"/>
  <c r="K17"/>
  <c r="K18" s="1"/>
  <c r="K19" s="1"/>
  <c r="M17"/>
  <c r="M18" s="1"/>
  <c r="M19" s="1"/>
  <c r="I17"/>
  <c r="I18" s="1"/>
  <c r="I19" s="1"/>
  <c r="K10"/>
  <c r="L17"/>
  <c r="L18" s="1"/>
  <c r="L19" s="1"/>
  <c r="J15" i="7" l="1"/>
  <c r="J23"/>
  <c r="M3"/>
  <c r="L4"/>
  <c r="L10" s="1"/>
  <c r="M4" i="6"/>
  <c r="M10" s="1"/>
  <c r="N3"/>
  <c r="L11"/>
  <c r="L14" s="1"/>
  <c r="J15" i="4"/>
  <c r="J23"/>
  <c r="I23"/>
  <c r="I15"/>
  <c r="M3"/>
  <c r="L4"/>
  <c r="L10" s="1"/>
  <c r="K11" s="1"/>
  <c r="K14" s="1"/>
  <c r="K4" i="5"/>
  <c r="K10" s="1"/>
  <c r="L3"/>
  <c r="J11"/>
  <c r="J14" s="1"/>
  <c r="I15" i="3"/>
  <c r="I23"/>
  <c r="L4"/>
  <c r="L10" s="1"/>
  <c r="M3"/>
  <c r="K11"/>
  <c r="K14" s="1"/>
  <c r="J11"/>
  <c r="J14" s="1"/>
  <c r="K11" i="1"/>
  <c r="K14" s="1"/>
  <c r="J11"/>
  <c r="J14" s="1"/>
  <c r="L11"/>
  <c r="L14" s="1"/>
  <c r="I11"/>
  <c r="I14" s="1"/>
  <c r="K11" i="7" l="1"/>
  <c r="K14" s="1"/>
  <c r="N3"/>
  <c r="M4"/>
  <c r="M10" s="1"/>
  <c r="N4" i="6"/>
  <c r="N10" s="1"/>
  <c r="O3"/>
  <c r="M11"/>
  <c r="M14" s="1"/>
  <c r="K15" i="4"/>
  <c r="K23"/>
  <c r="M4"/>
  <c r="M10" s="1"/>
  <c r="N3"/>
  <c r="L4" i="5"/>
  <c r="L10" s="1"/>
  <c r="M3"/>
  <c r="K11"/>
  <c r="K14" s="1"/>
  <c r="N3" i="3"/>
  <c r="M4"/>
  <c r="M10" s="1"/>
  <c r="K15"/>
  <c r="K23"/>
  <c r="J15"/>
  <c r="J23"/>
  <c r="L11"/>
  <c r="L14" s="1"/>
  <c r="N4" i="7" l="1"/>
  <c r="N10" s="1"/>
  <c r="O3"/>
  <c r="K15"/>
  <c r="K23"/>
  <c r="L11"/>
  <c r="L14" s="1"/>
  <c r="O4" i="6"/>
  <c r="O10" s="1"/>
  <c r="P3"/>
  <c r="P4" s="1"/>
  <c r="P10" s="1"/>
  <c r="P11" s="1"/>
  <c r="P14" s="1"/>
  <c r="N11"/>
  <c r="N14" s="1"/>
  <c r="N4" i="4"/>
  <c r="N10" s="1"/>
  <c r="M11" s="1"/>
  <c r="M14" s="1"/>
  <c r="O3"/>
  <c r="L11"/>
  <c r="L14" s="1"/>
  <c r="N3" i="5"/>
  <c r="M4"/>
  <c r="M10" s="1"/>
  <c r="L11" s="1"/>
  <c r="L14" s="1"/>
  <c r="L23" i="3"/>
  <c r="L15"/>
  <c r="M11"/>
  <c r="M14" s="1"/>
  <c r="O3"/>
  <c r="N4"/>
  <c r="N10" s="1"/>
  <c r="L15" i="7" l="1"/>
  <c r="L23"/>
  <c r="O4"/>
  <c r="O10" s="1"/>
  <c r="P3"/>
  <c r="P4" s="1"/>
  <c r="P10" s="1"/>
  <c r="P11" s="1"/>
  <c r="P14" s="1"/>
  <c r="N11"/>
  <c r="N14" s="1"/>
  <c r="M11"/>
  <c r="M14" s="1"/>
  <c r="O11" i="6"/>
  <c r="O14" s="1"/>
  <c r="M15" i="4"/>
  <c r="M23"/>
  <c r="L15"/>
  <c r="L23"/>
  <c r="O4"/>
  <c r="O10" s="1"/>
  <c r="O11" s="1"/>
  <c r="O14" s="1"/>
  <c r="P3"/>
  <c r="P4" s="1"/>
  <c r="P10" s="1"/>
  <c r="P11" s="1"/>
  <c r="P14" s="1"/>
  <c r="O3" i="5"/>
  <c r="N4"/>
  <c r="N10" s="1"/>
  <c r="M11" s="1"/>
  <c r="M14" s="1"/>
  <c r="P3" i="3"/>
  <c r="P4" s="1"/>
  <c r="P10" s="1"/>
  <c r="P11" s="1"/>
  <c r="P14" s="1"/>
  <c r="O4"/>
  <c r="O10" s="1"/>
  <c r="O11" s="1"/>
  <c r="O14" s="1"/>
  <c r="M23"/>
  <c r="M15"/>
  <c r="N15" i="7" l="1"/>
  <c r="N23"/>
  <c r="M15"/>
  <c r="M23"/>
  <c r="P23"/>
  <c r="P15"/>
  <c r="O11"/>
  <c r="O14" s="1"/>
  <c r="N11" i="4"/>
  <c r="N14" s="1"/>
  <c r="P23"/>
  <c r="P15"/>
  <c r="O23"/>
  <c r="O15"/>
  <c r="P3" i="5"/>
  <c r="P4" s="1"/>
  <c r="P10" s="1"/>
  <c r="P11" s="1"/>
  <c r="P14" s="1"/>
  <c r="O4"/>
  <c r="O10" s="1"/>
  <c r="N11" s="1"/>
  <c r="N14" s="1"/>
  <c r="N11" i="3"/>
  <c r="N14" s="1"/>
  <c r="O15"/>
  <c r="O23"/>
  <c r="P15"/>
  <c r="P23"/>
  <c r="O23" i="7" l="1"/>
  <c r="O15"/>
  <c r="N15" i="4"/>
  <c r="N23"/>
  <c r="O11" i="5"/>
  <c r="O14" s="1"/>
  <c r="N15" i="3"/>
  <c r="N23"/>
</calcChain>
</file>

<file path=xl/sharedStrings.xml><?xml version="1.0" encoding="utf-8"?>
<sst xmlns="http://schemas.openxmlformats.org/spreadsheetml/2006/main" count="165" uniqueCount="25">
  <si>
    <t>L</t>
  </si>
  <si>
    <t>dx</t>
  </si>
  <si>
    <t>k</t>
  </si>
  <si>
    <t>R</t>
  </si>
  <si>
    <t>Cp</t>
  </si>
  <si>
    <t>p*</t>
  </si>
  <si>
    <t>T*</t>
  </si>
  <si>
    <t>p</t>
  </si>
  <si>
    <t>n</t>
  </si>
  <si>
    <t>№</t>
  </si>
  <si>
    <t>x</t>
  </si>
  <si>
    <t>A</t>
  </si>
  <si>
    <t>U</t>
  </si>
  <si>
    <t>ro</t>
  </si>
  <si>
    <t>G</t>
  </si>
  <si>
    <t>dp</t>
  </si>
  <si>
    <t>T</t>
  </si>
  <si>
    <t>c</t>
  </si>
  <si>
    <t>M</t>
  </si>
  <si>
    <t>Tau_lam</t>
  </si>
  <si>
    <t>lamda</t>
  </si>
  <si>
    <t>Pi_lamda</t>
  </si>
  <si>
    <t>U_3D</t>
  </si>
  <si>
    <t>p_3D</t>
  </si>
  <si>
    <t>G_3D</t>
  </si>
</sst>
</file>

<file path=xl/styles.xml><?xml version="1.0" encoding="utf-8"?>
<styleSheet xmlns="http://schemas.openxmlformats.org/spreadsheetml/2006/main">
  <numFmts count="4">
    <numFmt numFmtId="164" formatCode="0.00000"/>
    <numFmt numFmtId="165" formatCode="0.0000"/>
    <numFmt numFmtId="166" formatCode="0.000"/>
    <numFmt numFmtId="167" formatCode="0.0"/>
  </numFmts>
  <fonts count="2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0" fillId="0" borderId="1" xfId="0" applyBorder="1"/>
    <xf numFmtId="0" fontId="0" fillId="0" borderId="0" xfId="0" applyFill="1" applyBorder="1"/>
    <xf numFmtId="0" fontId="0" fillId="0" borderId="0" xfId="0" applyBorder="1"/>
    <xf numFmtId="164" fontId="0" fillId="0" borderId="1" xfId="0" applyNumberFormat="1" applyBorder="1"/>
    <xf numFmtId="165" fontId="0" fillId="0" borderId="1" xfId="0" applyNumberFormat="1" applyBorder="1"/>
    <xf numFmtId="166" fontId="0" fillId="0" borderId="1" xfId="0" applyNumberFormat="1" applyBorder="1"/>
    <xf numFmtId="2" fontId="0" fillId="0" borderId="1" xfId="0" applyNumberFormat="1" applyBorder="1"/>
    <xf numFmtId="167" fontId="0" fillId="0" borderId="1" xfId="0" applyNumberFormat="1" applyBorder="1"/>
    <xf numFmtId="1" fontId="0" fillId="0" borderId="1" xfId="0" applyNumberFormat="1" applyBorder="1"/>
    <xf numFmtId="166" fontId="0" fillId="2" borderId="1" xfId="0" applyNumberFormat="1" applyFill="1" applyBorder="1"/>
    <xf numFmtId="0" fontId="0" fillId="2" borderId="1" xfId="0" applyFill="1" applyBorder="1"/>
    <xf numFmtId="165" fontId="0" fillId="2" borderId="1" xfId="0" applyNumberFormat="1" applyFill="1" applyBorder="1"/>
    <xf numFmtId="2" fontId="0" fillId="2" borderId="1" xfId="0" applyNumberFormat="1" applyFill="1" applyBorder="1"/>
    <xf numFmtId="1" fontId="0" fillId="2" borderId="1" xfId="0" applyNumberFormat="1" applyFill="1" applyBorder="1"/>
    <xf numFmtId="167" fontId="0" fillId="2" borderId="1" xfId="0" applyNumberFormat="1" applyFill="1" applyBorder="1"/>
    <xf numFmtId="0" fontId="0" fillId="2" borderId="0" xfId="0" applyFill="1"/>
    <xf numFmtId="0" fontId="0" fillId="2" borderId="1" xfId="0" applyNumberFormat="1" applyFill="1" applyBorder="1"/>
    <xf numFmtId="0" fontId="0" fillId="2" borderId="0" xfId="0" applyNumberFormat="1" applyFill="1"/>
    <xf numFmtId="0" fontId="0" fillId="3" borderId="1" xfId="0" applyFill="1" applyBorder="1"/>
    <xf numFmtId="0" fontId="0" fillId="4" borderId="1" xfId="0" applyFill="1" applyBorder="1"/>
    <xf numFmtId="0" fontId="0" fillId="5" borderId="1" xfId="0" applyFill="1" applyBorder="1"/>
    <xf numFmtId="1" fontId="0" fillId="5" borderId="1" xfId="0" applyNumberFormat="1" applyFill="1" applyBorder="1"/>
    <xf numFmtId="164" fontId="0" fillId="5" borderId="1" xfId="0" applyNumberFormat="1" applyFill="1" applyBorder="1"/>
    <xf numFmtId="0" fontId="0" fillId="6" borderId="1" xfId="0" applyFill="1" applyBorder="1"/>
    <xf numFmtId="0" fontId="0" fillId="6" borderId="1" xfId="0" applyNumberFormat="1" applyFill="1" applyBorder="1"/>
    <xf numFmtId="0" fontId="0" fillId="5" borderId="1" xfId="0" applyNumberFormat="1" applyFill="1" applyBorder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microsoft.com/office/2011/relationships/chartStyle" Target="style1.xml"/><Relationship Id="rId2" Type="http://schemas.microsoft.com/office/2011/relationships/chartColorStyle" Target="colors1.xml"/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3" Type="http://schemas.microsoft.com/office/2011/relationships/chartStyle" Target="style2.xml"/><Relationship Id="rId2" Type="http://schemas.microsoft.com/office/2011/relationships/chartColorStyle" Target="colors2.xml"/><Relationship Id="rId1" Type="http://schemas.openxmlformats.org/officeDocument/2006/relationships/chartUserShapes" Target="../drawings/drawing3.xml"/></Relationships>
</file>

<file path=xl/charts/_rels/chart3.xml.rels><?xml version="1.0" encoding="UTF-8" standalone="yes"?>
<Relationships xmlns="http://schemas.openxmlformats.org/package/2006/relationships"><Relationship Id="rId3" Type="http://schemas.microsoft.com/office/2011/relationships/chartStyle" Target="style3.xml"/><Relationship Id="rId2" Type="http://schemas.microsoft.com/office/2011/relationships/chartColorStyle" Target="colors3.xml"/><Relationship Id="rId1" Type="http://schemas.openxmlformats.org/officeDocument/2006/relationships/chartUserShapes" Target="../drawings/drawing4.xml"/></Relationships>
</file>

<file path=xl/charts/_rels/chart4.xml.rels><?xml version="1.0" encoding="UTF-8" standalone="yes"?>
<Relationships xmlns="http://schemas.openxmlformats.org/package/2006/relationships"><Relationship Id="rId3" Type="http://schemas.microsoft.com/office/2011/relationships/chartStyle" Target="style4.xml"/><Relationship Id="rId2" Type="http://schemas.microsoft.com/office/2011/relationships/chartColorStyle" Target="colors4.xml"/><Relationship Id="rId1" Type="http://schemas.openxmlformats.org/officeDocument/2006/relationships/chartUserShapes" Target="../drawings/drawing5.xml"/></Relationships>
</file>

<file path=xl/charts/_rels/chart5.xml.rels><?xml version="1.0" encoding="UTF-8" standalone="yes"?>
<Relationships xmlns="http://schemas.openxmlformats.org/package/2006/relationships"><Relationship Id="rId3" Type="http://schemas.microsoft.com/office/2011/relationships/chartStyle" Target="style5.xml"/><Relationship Id="rId2" Type="http://schemas.microsoft.com/office/2011/relationships/chartColorStyle" Target="colors5.xml"/><Relationship Id="rId1" Type="http://schemas.openxmlformats.org/officeDocument/2006/relationships/chartUserShapes" Target="../drawings/drawing7.xml"/></Relationships>
</file>

<file path=xl/charts/_rels/chart6.xml.rels><?xml version="1.0" encoding="UTF-8" standalone="yes"?>
<Relationships xmlns="http://schemas.openxmlformats.org/package/2006/relationships"><Relationship Id="rId3" Type="http://schemas.microsoft.com/office/2011/relationships/chartStyle" Target="style6.xml"/><Relationship Id="rId2" Type="http://schemas.microsoft.com/office/2011/relationships/chartColorStyle" Target="colors6.xml"/><Relationship Id="rId1" Type="http://schemas.openxmlformats.org/officeDocument/2006/relationships/chartUserShapes" Target="../drawings/drawing8.xml"/></Relationships>
</file>

<file path=xl/charts/_rels/chart7.xml.rels><?xml version="1.0" encoding="UTF-8" standalone="yes"?>
<Relationships xmlns="http://schemas.openxmlformats.org/package/2006/relationships"><Relationship Id="rId3" Type="http://schemas.microsoft.com/office/2011/relationships/chartStyle" Target="style7.xml"/><Relationship Id="rId2" Type="http://schemas.microsoft.com/office/2011/relationships/chartColorStyle" Target="colors7.xml"/><Relationship Id="rId1" Type="http://schemas.openxmlformats.org/officeDocument/2006/relationships/chartUserShapes" Target="../drawings/drawing9.xml"/></Relationships>
</file>

<file path=xl/charts/_rels/chart8.xml.rels><?xml version="1.0" encoding="UTF-8" standalone="yes"?>
<Relationships xmlns="http://schemas.openxmlformats.org/package/2006/relationships"><Relationship Id="rId3" Type="http://schemas.microsoft.com/office/2011/relationships/chartStyle" Target="style8.xml"/><Relationship Id="rId2" Type="http://schemas.microsoft.com/office/2011/relationships/chartColorStyle" Target="colors8.xml"/><Relationship Id="rId1" Type="http://schemas.openxmlformats.org/officeDocument/2006/relationships/chartUserShapes" Target="../drawings/drawing10.xml"/></Relationships>
</file>

<file path=xl/charts/_rels/chart9.xml.rels><?xml version="1.0" encoding="UTF-8" standalone="yes"?>
<Relationships xmlns="http://schemas.openxmlformats.org/package/2006/relationships"><Relationship Id="rId3" Type="http://schemas.microsoft.com/office/2011/relationships/chartStyle" Target="style9.xml"/><Relationship Id="rId2" Type="http://schemas.microsoft.com/office/2011/relationships/chartColorStyle" Target="colors9.xml"/><Relationship Id="rId1" Type="http://schemas.openxmlformats.org/officeDocument/2006/relationships/chartUserShapes" Target="../drawings/drawing12.xml"/></Relationships>
</file>

<file path=xl/charts/_rels/chart10.xml.rels><?xml version="1.0" encoding="UTF-8" standalone="yes"?>
<Relationships xmlns="http://schemas.openxmlformats.org/package/2006/relationships"><Relationship Id="rId3" Type="http://schemas.microsoft.com/office/2011/relationships/chartStyle" Target="style10.xml"/><Relationship Id="rId2" Type="http://schemas.microsoft.com/office/2011/relationships/chartColorStyle" Target="colors10.xml"/><Relationship Id="rId1" Type="http://schemas.openxmlformats.org/officeDocument/2006/relationships/chartUserShapes" Target="../drawings/drawing13.xml"/></Relationships>
</file>

<file path=xl/charts/_rels/chart11.xml.rels><?xml version="1.0" encoding="UTF-8" standalone="yes"?>
<Relationships xmlns="http://schemas.openxmlformats.org/package/2006/relationships"><Relationship Id="rId3" Type="http://schemas.microsoft.com/office/2011/relationships/chartStyle" Target="style11.xml"/><Relationship Id="rId2" Type="http://schemas.microsoft.com/office/2011/relationships/chartColorStyle" Target="colors11.xml"/><Relationship Id="rId1" Type="http://schemas.openxmlformats.org/officeDocument/2006/relationships/chartUserShapes" Target="../drawings/drawing14.xml"/></Relationships>
</file>

<file path=xl/charts/_rels/chart12.xml.rels><?xml version="1.0" encoding="UTF-8" standalone="yes"?>
<Relationships xmlns="http://schemas.openxmlformats.org/package/2006/relationships"><Relationship Id="rId3" Type="http://schemas.microsoft.com/office/2011/relationships/chartStyle" Target="style12.xml"/><Relationship Id="rId2" Type="http://schemas.microsoft.com/office/2011/relationships/chartColorStyle" Target="colors12.xml"/><Relationship Id="rId1" Type="http://schemas.openxmlformats.org/officeDocument/2006/relationships/chartUserShapes" Target="../drawings/drawing15.xml"/></Relationships>
</file>

<file path=xl/charts/_rels/chart13.xml.rels><?xml version="1.0" encoding="UTF-8" standalone="yes"?>
<Relationships xmlns="http://schemas.openxmlformats.org/package/2006/relationships"><Relationship Id="rId3" Type="http://schemas.microsoft.com/office/2011/relationships/chartStyle" Target="style13.xml"/><Relationship Id="rId2" Type="http://schemas.microsoft.com/office/2011/relationships/chartColorStyle" Target="colors13.xml"/><Relationship Id="rId1" Type="http://schemas.openxmlformats.org/officeDocument/2006/relationships/chartUserShapes" Target="../drawings/drawing17.xml"/></Relationships>
</file>

<file path=xl/charts/_rels/chart14.xml.rels><?xml version="1.0" encoding="UTF-8" standalone="yes"?>
<Relationships xmlns="http://schemas.openxmlformats.org/package/2006/relationships"><Relationship Id="rId3" Type="http://schemas.microsoft.com/office/2011/relationships/chartStyle" Target="style14.xml"/><Relationship Id="rId2" Type="http://schemas.microsoft.com/office/2011/relationships/chartColorStyle" Target="colors14.xml"/><Relationship Id="rId1" Type="http://schemas.openxmlformats.org/officeDocument/2006/relationships/chartUserShapes" Target="../drawings/drawing18.xml"/></Relationships>
</file>

<file path=xl/charts/_rels/chart15.xml.rels><?xml version="1.0" encoding="UTF-8" standalone="yes"?>
<Relationships xmlns="http://schemas.openxmlformats.org/package/2006/relationships"><Relationship Id="rId3" Type="http://schemas.microsoft.com/office/2011/relationships/chartStyle" Target="style15.xml"/><Relationship Id="rId2" Type="http://schemas.microsoft.com/office/2011/relationships/chartColorStyle" Target="colors15.xml"/><Relationship Id="rId1" Type="http://schemas.openxmlformats.org/officeDocument/2006/relationships/chartUserShapes" Target="../drawings/drawing19.xml"/></Relationships>
</file>

<file path=xl/charts/_rels/chart16.xml.rels><?xml version="1.0" encoding="UTF-8" standalone="yes"?>
<Relationships xmlns="http://schemas.openxmlformats.org/package/2006/relationships"><Relationship Id="rId3" Type="http://schemas.microsoft.com/office/2011/relationships/chartStyle" Target="style16.xml"/><Relationship Id="rId2" Type="http://schemas.microsoft.com/office/2011/relationships/chartColorStyle" Target="colors16.xml"/><Relationship Id="rId1" Type="http://schemas.openxmlformats.org/officeDocument/2006/relationships/chartUserShapes" Target="../drawings/drawing20.xml"/></Relationships>
</file>

<file path=xl/charts/_rels/chart17.xml.rels><?xml version="1.0" encoding="UTF-8" standalone="yes"?>
<Relationships xmlns="http://schemas.openxmlformats.org/package/2006/relationships"><Relationship Id="rId3" Type="http://schemas.microsoft.com/office/2011/relationships/chartStyle" Target="style17.xml"/><Relationship Id="rId2" Type="http://schemas.microsoft.com/office/2011/relationships/chartColorStyle" Target="colors17.xml"/><Relationship Id="rId1" Type="http://schemas.openxmlformats.org/officeDocument/2006/relationships/chartUserShapes" Target="../drawings/drawing22.xml"/></Relationships>
</file>

<file path=xl/charts/_rels/chart18.xml.rels><?xml version="1.0" encoding="UTF-8" standalone="yes"?>
<Relationships xmlns="http://schemas.openxmlformats.org/package/2006/relationships"><Relationship Id="rId3" Type="http://schemas.microsoft.com/office/2011/relationships/chartStyle" Target="style18.xml"/><Relationship Id="rId2" Type="http://schemas.microsoft.com/office/2011/relationships/chartColorStyle" Target="colors18.xml"/><Relationship Id="rId1" Type="http://schemas.openxmlformats.org/officeDocument/2006/relationships/chartUserShapes" Target="../drawings/drawing23.xml"/></Relationships>
</file>

<file path=xl/charts/_rels/chart19.xml.rels><?xml version="1.0" encoding="UTF-8" standalone="yes"?>
<Relationships xmlns="http://schemas.openxmlformats.org/package/2006/relationships"><Relationship Id="rId3" Type="http://schemas.microsoft.com/office/2011/relationships/chartStyle" Target="style19.xml"/><Relationship Id="rId2" Type="http://schemas.microsoft.com/office/2011/relationships/chartColorStyle" Target="colors19.xml"/><Relationship Id="rId1" Type="http://schemas.openxmlformats.org/officeDocument/2006/relationships/chartUserShapes" Target="../drawings/drawing24.xml"/></Relationships>
</file>

<file path=xl/charts/_rels/chart20.xml.rels><?xml version="1.0" encoding="UTF-8" standalone="yes"?>
<Relationships xmlns="http://schemas.openxmlformats.org/package/2006/relationships"><Relationship Id="rId3" Type="http://schemas.microsoft.com/office/2011/relationships/chartStyle" Target="style20.xml"/><Relationship Id="rId2" Type="http://schemas.microsoft.com/office/2011/relationships/chartColorStyle" Target="colors20.xml"/><Relationship Id="rId1" Type="http://schemas.openxmlformats.org/officeDocument/2006/relationships/chartUserShapes" Target="../drawings/drawing25.xml"/></Relationships>
</file>

<file path=xl/charts/_rels/chart21.xml.rels><?xml version="1.0" encoding="UTF-8" standalone="yes"?>
<Relationships xmlns="http://schemas.openxmlformats.org/package/2006/relationships"><Relationship Id="rId3" Type="http://schemas.microsoft.com/office/2011/relationships/chartStyle" Target="style21.xml"/><Relationship Id="rId2" Type="http://schemas.microsoft.com/office/2011/relationships/chartColorStyle" Target="colors21.xml"/><Relationship Id="rId1" Type="http://schemas.openxmlformats.org/officeDocument/2006/relationships/chartUserShapes" Target="../drawings/drawing27.xml"/></Relationships>
</file>

<file path=xl/charts/_rels/chart22.xml.rels><?xml version="1.0" encoding="UTF-8" standalone="yes"?>
<Relationships xmlns="http://schemas.openxmlformats.org/package/2006/relationships"><Relationship Id="rId3" Type="http://schemas.microsoft.com/office/2011/relationships/chartStyle" Target="style22.xml"/><Relationship Id="rId2" Type="http://schemas.microsoft.com/office/2011/relationships/chartColorStyle" Target="colors22.xml"/><Relationship Id="rId1" Type="http://schemas.openxmlformats.org/officeDocument/2006/relationships/chartUserShapes" Target="../drawings/drawing28.xml"/></Relationships>
</file>

<file path=xl/charts/_rels/chart23.xml.rels><?xml version="1.0" encoding="UTF-8" standalone="yes"?>
<Relationships xmlns="http://schemas.openxmlformats.org/package/2006/relationships"><Relationship Id="rId3" Type="http://schemas.microsoft.com/office/2011/relationships/chartStyle" Target="style23.xml"/><Relationship Id="rId2" Type="http://schemas.microsoft.com/office/2011/relationships/chartColorStyle" Target="colors23.xml"/><Relationship Id="rId1" Type="http://schemas.openxmlformats.org/officeDocument/2006/relationships/chartUserShapes" Target="../drawings/drawing29.xml"/></Relationships>
</file>

<file path=xl/charts/_rels/chart24.xml.rels><?xml version="1.0" encoding="UTF-8" standalone="yes"?>
<Relationships xmlns="http://schemas.openxmlformats.org/package/2006/relationships"><Relationship Id="rId3" Type="http://schemas.microsoft.com/office/2011/relationships/chartStyle" Target="style24.xml"/><Relationship Id="rId2" Type="http://schemas.microsoft.com/office/2011/relationships/chartColorStyle" Target="colors24.xml"/><Relationship Id="rId1" Type="http://schemas.openxmlformats.org/officeDocument/2006/relationships/chartUserShapes" Target="../drawings/drawing30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75E-2"/>
          <c:y val="3.2407407407407419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1"/>
          <c:w val="0.80502367875226066"/>
          <c:h val="0.72088764946048434"/>
        </c:manualLayout>
      </c:layout>
      <c:lineChart>
        <c:grouping val="standard"/>
        <c:ser>
          <c:idx val="0"/>
          <c:order val="0"/>
          <c:tx>
            <c:strRef>
              <c:f>const_p135!$F$3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68472832"/>
        <c:axId val="68474368"/>
      </c:lineChart>
      <c:catAx>
        <c:axId val="6847283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474368"/>
        <c:crosses val="autoZero"/>
        <c:auto val="1"/>
        <c:lblAlgn val="ctr"/>
        <c:lblOffset val="100"/>
      </c:catAx>
      <c:valAx>
        <c:axId val="6847436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684728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17E-2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27E-2"/>
          <c:y val="0.17171296296296301"/>
          <c:w val="0.71851618547681517"/>
          <c:h val="0.72088764946048434"/>
        </c:manualLayout>
      </c:layout>
      <c:lineChart>
        <c:grouping val="standard"/>
        <c:ser>
          <c:idx val="1"/>
          <c:order val="0"/>
          <c:tx>
            <c:strRef>
              <c:f>const_p135!$F$10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const_p135!$G$10:$Q$10</c:f>
              <c:numCache>
                <c:formatCode>0.000</c:formatCode>
                <c:ptCount val="11"/>
                <c:pt idx="0">
                  <c:v>1.3663197670643263</c:v>
                </c:pt>
                <c:pt idx="1">
                  <c:v>1.3663230263056276</c:v>
                </c:pt>
                <c:pt idx="2">
                  <c:v>1.3665061703250156</c:v>
                </c:pt>
                <c:pt idx="3">
                  <c:v>1.3667709625642646</c:v>
                </c:pt>
                <c:pt idx="4">
                  <c:v>1.3670844463740892</c:v>
                </c:pt>
                <c:pt idx="5">
                  <c:v>1.3674102353600908</c:v>
                </c:pt>
                <c:pt idx="6">
                  <c:v>1.3677115104077038</c:v>
                </c:pt>
                <c:pt idx="7">
                  <c:v>1.3679558661344997</c:v>
                </c:pt>
                <c:pt idx="8">
                  <c:v>1.3681219499556712</c:v>
                </c:pt>
                <c:pt idx="9">
                  <c:v>1.3682067248782557</c:v>
                </c:pt>
                <c:pt idx="10">
                  <c:v>1.368230019724868</c:v>
                </c:pt>
              </c:numCache>
            </c:numRef>
          </c:val>
        </c:ser>
        <c:ser>
          <c:idx val="0"/>
          <c:order val="1"/>
          <c:tx>
            <c:strRef>
              <c:f>const_p135!$F$10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const_p135!$G$10:$Q$10</c:f>
              <c:numCache>
                <c:formatCode>0.000</c:formatCode>
                <c:ptCount val="11"/>
                <c:pt idx="0">
                  <c:v>1.3663197670643263</c:v>
                </c:pt>
                <c:pt idx="1">
                  <c:v>1.3663230263056276</c:v>
                </c:pt>
                <c:pt idx="2">
                  <c:v>1.3665061703250156</c:v>
                </c:pt>
                <c:pt idx="3">
                  <c:v>1.3667709625642646</c:v>
                </c:pt>
                <c:pt idx="4">
                  <c:v>1.3670844463740892</c:v>
                </c:pt>
                <c:pt idx="5">
                  <c:v>1.3674102353600908</c:v>
                </c:pt>
                <c:pt idx="6">
                  <c:v>1.3677115104077038</c:v>
                </c:pt>
                <c:pt idx="7">
                  <c:v>1.3679558661344997</c:v>
                </c:pt>
                <c:pt idx="8">
                  <c:v>1.3681219499556712</c:v>
                </c:pt>
                <c:pt idx="9">
                  <c:v>1.3682067248782557</c:v>
                </c:pt>
                <c:pt idx="10">
                  <c:v>1.368230019724868</c:v>
                </c:pt>
              </c:numCache>
            </c:numRef>
          </c:val>
        </c:ser>
        <c:marker val="1"/>
        <c:axId val="70228608"/>
        <c:axId val="70234496"/>
      </c:lineChart>
      <c:catAx>
        <c:axId val="7022860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34496"/>
        <c:crosses val="autoZero"/>
        <c:auto val="1"/>
        <c:lblAlgn val="ctr"/>
        <c:lblOffset val="100"/>
      </c:catAx>
      <c:valAx>
        <c:axId val="7023449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0228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P, [Pa]</a:t>
            </a:r>
            <a:endParaRPr lang="ru-RU"/>
          </a:p>
        </c:rich>
      </c:tx>
      <c:layout>
        <c:manualLayout>
          <c:xMode val="edge"/>
          <c:yMode val="edge"/>
          <c:x val="2.5431788772957761E-3"/>
          <c:y val="0"/>
        </c:manualLayout>
      </c:layout>
    </c:title>
    <c:plotArea>
      <c:layout>
        <c:manualLayout>
          <c:layoutTarget val="inner"/>
          <c:xMode val="edge"/>
          <c:yMode val="edge"/>
          <c:x val="9.8660588085217674E-2"/>
          <c:y val="0.15782407407407409"/>
          <c:w val="0.77133392746748353"/>
          <c:h val="0.72088764946048434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const_p135!$G$6:$Q$6</c:f>
              <c:numCache>
                <c:formatCode>General</c:formatCode>
                <c:ptCount val="11"/>
                <c:pt idx="0">
                  <c:v>133051.52605921644</c:v>
                </c:pt>
                <c:pt idx="1">
                  <c:v>132585.00887496024</c:v>
                </c:pt>
                <c:pt idx="2">
                  <c:v>131975.33222654188</c:v>
                </c:pt>
                <c:pt idx="3">
                  <c:v>131167.0237309454</c:v>
                </c:pt>
                <c:pt idx="4">
                  <c:v>130077.43846014728</c:v>
                </c:pt>
                <c:pt idx="5">
                  <c:v>128580.98395327538</c:v>
                </c:pt>
                <c:pt idx="6">
                  <c:v>126481.59628678391</c:v>
                </c:pt>
                <c:pt idx="7">
                  <c:v>123463.63627072446</c:v>
                </c:pt>
                <c:pt idx="8">
                  <c:v>119000.62894825015</c:v>
                </c:pt>
                <c:pt idx="9">
                  <c:v>112177.50418921013</c:v>
                </c:pt>
                <c:pt idx="10">
                  <c:v>101325</c:v>
                </c:pt>
              </c:numCache>
            </c:numRef>
          </c:yVal>
        </c:ser>
        <c:ser>
          <c:idx val="1"/>
          <c:order val="1"/>
          <c:tx>
            <c:v>3D</c:v>
          </c:tx>
          <c:marker>
            <c:symbol val="none"/>
          </c:marker>
          <c:xVal>
            <c:numRef>
              <c:f>const_p135!$T$4:$X$4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const_p135!$T$6:$X$6</c:f>
              <c:numCache>
                <c:formatCode>0</c:formatCode>
                <c:ptCount val="5"/>
                <c:pt idx="0">
                  <c:v>132552</c:v>
                </c:pt>
                <c:pt idx="1">
                  <c:v>131334</c:v>
                </c:pt>
                <c:pt idx="2">
                  <c:v>128213</c:v>
                </c:pt>
                <c:pt idx="3">
                  <c:v>120941</c:v>
                </c:pt>
                <c:pt idx="4">
                  <c:v>101336</c:v>
                </c:pt>
              </c:numCache>
            </c:numRef>
          </c:yVal>
        </c:ser>
        <c:axId val="70009984"/>
        <c:axId val="70011520"/>
      </c:scatterChart>
      <c:valAx>
        <c:axId val="70009984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70011520"/>
        <c:crosses val="autoZero"/>
        <c:crossBetween val="midCat"/>
      </c:valAx>
      <c:valAx>
        <c:axId val="70011520"/>
        <c:scaling>
          <c:orientation val="minMax"/>
          <c:min val="90000"/>
        </c:scaling>
        <c:axPos val="l"/>
        <c:majorGridlines/>
        <c:numFmt formatCode="General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70009984"/>
        <c:crosses val="autoZero"/>
        <c:crossBetween val="midCat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vert="horz"/>
          <a:lstStyle/>
          <a:p>
            <a:pPr>
              <a:defRPr/>
            </a:pPr>
            <a:r>
              <a:rPr lang="en-US"/>
              <a:t>U, [m/s] </a:t>
            </a:r>
          </a:p>
        </c:rich>
      </c:tx>
      <c:layout>
        <c:manualLayout>
          <c:xMode val="edge"/>
          <c:yMode val="edge"/>
          <c:x val="9.2050209205024396E-4"/>
          <c:y val="1.3888888888888897E-2"/>
        </c:manualLayout>
      </c:layout>
    </c:title>
    <c:plotArea>
      <c:layout>
        <c:manualLayout>
          <c:layoutTarget val="inner"/>
          <c:xMode val="edge"/>
          <c:yMode val="edge"/>
          <c:x val="7.9579173942169359E-2"/>
          <c:y val="0.17171296296296301"/>
          <c:w val="0.78105535971183482"/>
          <c:h val="0.72088764946048434"/>
        </c:manualLayout>
      </c:layout>
      <c:scatterChart>
        <c:scatterStyle val="lineMarker"/>
        <c:ser>
          <c:idx val="0"/>
          <c:order val="0"/>
          <c:marker>
            <c:symbol val="none"/>
          </c:marker>
          <c:xVal>
            <c:numRef>
              <c:f>const_p135!$G$2:$Q$2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xVal>
          <c:yVal>
            <c:numRef>
              <c:f>const_p135!$G$13:$Q$13</c:f>
              <c:numCache>
                <c:formatCode>General</c:formatCode>
                <c:ptCount val="11"/>
                <c:pt idx="0">
                  <c:v>57.346135224803419</c:v>
                </c:pt>
                <c:pt idx="1">
                  <c:v>63.541575644546448</c:v>
                </c:pt>
                <c:pt idx="2">
                  <c:v>70.807356544252258</c:v>
                </c:pt>
                <c:pt idx="3">
                  <c:v>79.398024165451432</c:v>
                </c:pt>
                <c:pt idx="4">
                  <c:v>89.653484006000923</c:v>
                </c:pt>
                <c:pt idx="5">
                  <c:v>102.03005072293041</c:v>
                </c:pt>
                <c:pt idx="6">
                  <c:v>117.1521396307309</c:v>
                </c:pt>
                <c:pt idx="7">
                  <c:v>135.89302800468184</c:v>
                </c:pt>
                <c:pt idx="8">
                  <c:v>159.50493076650253</c:v>
                </c:pt>
                <c:pt idx="9">
                  <c:v>189.83581218044736</c:v>
                </c:pt>
                <c:pt idx="10">
                  <c:v>229.70524359275763</c:v>
                </c:pt>
              </c:numCache>
            </c:numRef>
          </c:yVal>
        </c:ser>
        <c:ser>
          <c:idx val="1"/>
          <c:order val="1"/>
          <c:tx>
            <c:v>3d</c:v>
          </c:tx>
          <c:marker>
            <c:symbol val="none"/>
          </c:marker>
          <c:xVal>
            <c:numRef>
              <c:f>const_p135!$T$4:$X$4</c:f>
              <c:numCache>
                <c:formatCode>0.000</c:formatCode>
                <c:ptCount val="5"/>
                <c:pt idx="0" formatCode="0.00">
                  <c:v>0</c:v>
                </c:pt>
                <c:pt idx="1">
                  <c:v>2.5000000000000001E-2</c:v>
                </c:pt>
                <c:pt idx="2" formatCode="0.00">
                  <c:v>0.05</c:v>
                </c:pt>
                <c:pt idx="3">
                  <c:v>7.4999999999999997E-2</c:v>
                </c:pt>
                <c:pt idx="4" formatCode="0.00">
                  <c:v>0.1</c:v>
                </c:pt>
              </c:numCache>
            </c:numRef>
          </c:xVal>
          <c:yVal>
            <c:numRef>
              <c:f>const_p135!$T$5:$X$5</c:f>
              <c:numCache>
                <c:formatCode>0.00</c:formatCode>
                <c:ptCount val="5"/>
                <c:pt idx="0" formatCode="0.0">
                  <c:v>62.6</c:v>
                </c:pt>
                <c:pt idx="1">
                  <c:v>78.260000000000005</c:v>
                </c:pt>
                <c:pt idx="2">
                  <c:v>106.77</c:v>
                </c:pt>
                <c:pt idx="3">
                  <c:v>153.75</c:v>
                </c:pt>
                <c:pt idx="4">
                  <c:v>238.13</c:v>
                </c:pt>
              </c:numCache>
            </c:numRef>
          </c:yVal>
        </c:ser>
        <c:axId val="69930368"/>
        <c:axId val="69944448"/>
      </c:scatterChart>
      <c:valAx>
        <c:axId val="69930368"/>
        <c:scaling>
          <c:orientation val="minMax"/>
        </c:scaling>
        <c:axPos val="b"/>
        <c:majorGridlines/>
        <c:numFmt formatCode="General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69944448"/>
        <c:crosses val="autoZero"/>
        <c:crossBetween val="midCat"/>
      </c:valAx>
      <c:valAx>
        <c:axId val="69944448"/>
        <c:scaling>
          <c:orientation val="minMax"/>
        </c:scaling>
        <c:axPos val="l"/>
        <c:majorGridlines/>
        <c:numFmt formatCode="General" sourceLinked="1"/>
        <c:majorTickMark val="none"/>
        <c:tickLblPos val="nextTo"/>
        <c:txPr>
          <a:bodyPr rot="-60000000" vert="horz"/>
          <a:lstStyle/>
          <a:p>
            <a:pPr>
              <a:defRPr/>
            </a:pPr>
            <a:endParaRPr lang="ru-RU"/>
          </a:p>
        </c:txPr>
        <c:crossAx val="69930368"/>
        <c:crosses val="autoZero"/>
        <c:crossBetween val="midCat"/>
      </c:valAx>
    </c:plotArea>
    <c:plotVisOnly val="1"/>
    <c:dispBlanksAs val="gap"/>
  </c:chart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75E-2"/>
          <c:y val="3.2407407407407419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1"/>
          <c:w val="0.80502367875226066"/>
          <c:h val="0.72088764946048434"/>
        </c:manualLayout>
      </c:layout>
      <c:lineChart>
        <c:grouping val="standard"/>
        <c:ser>
          <c:idx val="0"/>
          <c:order val="0"/>
          <c:tx>
            <c:strRef>
              <c:f>var_p135!$F$3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var_p135!$G$3:$Q$3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72586368"/>
        <c:axId val="72587904"/>
      </c:lineChart>
      <c:catAx>
        <c:axId val="72586368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87904"/>
        <c:crosses val="autoZero"/>
        <c:auto val="1"/>
        <c:lblAlgn val="ctr"/>
        <c:lblOffset val="100"/>
      </c:catAx>
      <c:valAx>
        <c:axId val="7258790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58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17E-2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27E-2"/>
          <c:y val="0.17171296296296301"/>
          <c:w val="0.71851618547681517"/>
          <c:h val="0.72088764946048434"/>
        </c:manualLayout>
      </c:layout>
      <c:lineChart>
        <c:grouping val="standard"/>
        <c:ser>
          <c:idx val="1"/>
          <c:order val="0"/>
          <c:tx>
            <c:strRef>
              <c:f>var_p135!$F$10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</c:ser>
        <c:ser>
          <c:idx val="0"/>
          <c:order val="1"/>
          <c:tx>
            <c:strRef>
              <c:f>var_p135!$F$10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var_p135!$G$10:$Q$10</c:f>
              <c:numCache>
                <c:formatCode>0.000</c:formatCode>
                <c:ptCount val="11"/>
                <c:pt idx="0">
                  <c:v>1.366645195577177</c:v>
                </c:pt>
                <c:pt idx="1">
                  <c:v>1.3666347344859844</c:v>
                </c:pt>
                <c:pt idx="2">
                  <c:v>1.3660677312876293</c:v>
                </c:pt>
                <c:pt idx="3">
                  <c:v>1.3658167470418781</c:v>
                </c:pt>
                <c:pt idx="4">
                  <c:v>1.3658483209918184</c:v>
                </c:pt>
                <c:pt idx="5">
                  <c:v>1.3661125638138347</c:v>
                </c:pt>
                <c:pt idx="6">
                  <c:v>1.3665415729811596</c:v>
                </c:pt>
                <c:pt idx="7">
                  <c:v>1.3670502324775375</c:v>
                </c:pt>
                <c:pt idx="8">
                  <c:v>1.3675415476349411</c:v>
                </c:pt>
                <c:pt idx="9">
                  <c:v>1.3679195404148627</c:v>
                </c:pt>
                <c:pt idx="10">
                  <c:v>1.3681132042596771</c:v>
                </c:pt>
              </c:numCache>
            </c:numRef>
          </c:val>
        </c:ser>
        <c:marker val="1"/>
        <c:axId val="72908160"/>
        <c:axId val="72922240"/>
      </c:lineChart>
      <c:catAx>
        <c:axId val="72908160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922240"/>
        <c:crosses val="autoZero"/>
        <c:auto val="1"/>
        <c:lblAlgn val="ctr"/>
        <c:lblOffset val="100"/>
      </c:catAx>
      <c:valAx>
        <c:axId val="7292224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908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6E-2"/>
          <c:y val="2.314814814814814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1407238429365406"/>
          <c:y val="0.19486111111111118"/>
          <c:w val="0.70184673738412284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var_p135!$G$6:$Q$6</c:f>
              <c:numCache>
                <c:formatCode>General</c:formatCode>
                <c:ptCount val="11"/>
                <c:pt idx="0">
                  <c:v>133574.20645422692</c:v>
                </c:pt>
                <c:pt idx="1">
                  <c:v>133226.28716879166</c:v>
                </c:pt>
                <c:pt idx="2">
                  <c:v>132771.1614403399</c:v>
                </c:pt>
                <c:pt idx="3">
                  <c:v>132161.66801093385</c:v>
                </c:pt>
                <c:pt idx="4">
                  <c:v>131328.88571868328</c:v>
                </c:pt>
                <c:pt idx="5">
                  <c:v>130163.60851596277</c:v>
                </c:pt>
                <c:pt idx="6">
                  <c:v>128484.90473201471</c:v>
                </c:pt>
                <c:pt idx="7">
                  <c:v>125974.38540805619</c:v>
                </c:pt>
                <c:pt idx="8">
                  <c:v>122019.7344116298</c:v>
                </c:pt>
                <c:pt idx="9">
                  <c:v>115251.08218729163</c:v>
                </c:pt>
                <c:pt idx="10">
                  <c:v>101325</c:v>
                </c:pt>
              </c:numCache>
            </c:numRef>
          </c:val>
        </c:ser>
        <c:marker val="1"/>
        <c:axId val="72958720"/>
        <c:axId val="72960256"/>
      </c:lineChart>
      <c:catAx>
        <c:axId val="72958720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960256"/>
        <c:crosses val="autoZero"/>
        <c:auto val="1"/>
        <c:lblAlgn val="ctr"/>
        <c:lblOffset val="100"/>
      </c:catAx>
      <c:valAx>
        <c:axId val="72960256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2958720"/>
        <c:crosses val="autoZero"/>
        <c:crossBetween val="between"/>
      </c:valAx>
      <c:spPr>
        <a:noFill/>
        <a:ln>
          <a:solidFill>
            <a:schemeClr val="dk1"/>
          </a:solidFill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917E-4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493775899152129"/>
          <c:y val="0.19486111111111118"/>
          <c:w val="0.74507174103237095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var_p135!$G$2:$Q$2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var_p135!$G$13:$Q$13</c:f>
              <c:numCache>
                <c:formatCode>0.00</c:formatCode>
                <c:ptCount val="11"/>
                <c:pt idx="0" formatCode="General">
                  <c:v>41.952134974927866</c:v>
                </c:pt>
                <c:pt idx="1">
                  <c:v>46.572365820758591</c:v>
                </c:pt>
                <c:pt idx="2">
                  <c:v>51.99881482550407</c:v>
                </c:pt>
                <c:pt idx="3">
                  <c:v>58.481548175462336</c:v>
                </c:pt>
                <c:pt idx="4">
                  <c:v>66.327308369234387</c:v>
                </c:pt>
                <c:pt idx="5">
                  <c:v>75.974083898539305</c:v>
                </c:pt>
                <c:pt idx="6">
                  <c:v>88.076208352825077</c:v>
                </c:pt>
                <c:pt idx="7">
                  <c:v>103.67611774994239</c:v>
                </c:pt>
                <c:pt idx="8">
                  <c:v>124.60715436719285</c:v>
                </c:pt>
                <c:pt idx="9">
                  <c:v>154.70201471594376</c:v>
                </c:pt>
                <c:pt idx="10">
                  <c:v>205.86733253631789</c:v>
                </c:pt>
              </c:numCache>
            </c:numRef>
          </c:val>
        </c:ser>
        <c:marker val="1"/>
        <c:axId val="73004544"/>
        <c:axId val="73006080"/>
      </c:lineChart>
      <c:catAx>
        <c:axId val="73004544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006080"/>
        <c:crosses val="autoZero"/>
        <c:auto val="1"/>
        <c:lblAlgn val="ctr"/>
        <c:lblOffset val="100"/>
      </c:catAx>
      <c:valAx>
        <c:axId val="730060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3004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75E-2"/>
          <c:y val="3.2407407407407419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1"/>
          <c:w val="0.80502367875226066"/>
          <c:h val="0.72088764946048434"/>
        </c:manualLayout>
      </c:layout>
      <c:lineChart>
        <c:grouping val="standard"/>
        <c:ser>
          <c:idx val="0"/>
          <c:order val="0"/>
          <c:tx>
            <c:strRef>
              <c:f>const_p105!$F$3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76413952"/>
        <c:axId val="76423936"/>
      </c:lineChart>
      <c:catAx>
        <c:axId val="76413952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423936"/>
        <c:crosses val="autoZero"/>
        <c:auto val="1"/>
        <c:lblAlgn val="ctr"/>
        <c:lblOffset val="100"/>
      </c:catAx>
      <c:valAx>
        <c:axId val="76423936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413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17E-2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27E-2"/>
          <c:y val="0.17171296296296301"/>
          <c:w val="0.71851618547681517"/>
          <c:h val="0.72088764946048434"/>
        </c:manualLayout>
      </c:layout>
      <c:lineChart>
        <c:grouping val="standard"/>
        <c:ser>
          <c:idx val="1"/>
          <c:order val="0"/>
          <c:tx>
            <c:strRef>
              <c:f>const_p105!$F$10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</c:ser>
        <c:ser>
          <c:idx val="0"/>
          <c:order val="1"/>
          <c:tx>
            <c:strRef>
              <c:f>const_p105!$F$10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const_p105!$G$10:$Q$10</c:f>
              <c:numCache>
                <c:formatCode>0.000</c:formatCode>
                <c:ptCount val="11"/>
                <c:pt idx="0">
                  <c:v>0.45201084371136407</c:v>
                </c:pt>
                <c:pt idx="1">
                  <c:v>0.45201084248514894</c:v>
                </c:pt>
                <c:pt idx="2">
                  <c:v>0.45201077485286445</c:v>
                </c:pt>
                <c:pt idx="3">
                  <c:v>0.45201071834618689</c:v>
                </c:pt>
                <c:pt idx="4">
                  <c:v>0.45201067414804225</c:v>
                </c:pt>
                <c:pt idx="5">
                  <c:v>0.4520106427333081</c:v>
                </c:pt>
                <c:pt idx="6">
                  <c:v>0.45201062359753369</c:v>
                </c:pt>
                <c:pt idx="7">
                  <c:v>0.45201061503429235</c:v>
                </c:pt>
                <c:pt idx="8">
                  <c:v>0.45201061408601589</c:v>
                </c:pt>
                <c:pt idx="9">
                  <c:v>0.45201061686254995</c:v>
                </c:pt>
                <c:pt idx="10">
                  <c:v>0.4520106194487214</c:v>
                </c:pt>
              </c:numCache>
            </c:numRef>
          </c:val>
        </c:ser>
        <c:marker val="1"/>
        <c:axId val="76445184"/>
        <c:axId val="76446720"/>
      </c:lineChart>
      <c:catAx>
        <c:axId val="76445184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446720"/>
        <c:crosses val="autoZero"/>
        <c:auto val="1"/>
        <c:lblAlgn val="ctr"/>
        <c:lblOffset val="100"/>
      </c:catAx>
      <c:valAx>
        <c:axId val="7644672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4451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6E-2"/>
          <c:y val="2.314814814814814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043311001166663"/>
          <c:y val="0.17171296296296298"/>
          <c:w val="0.74331360949146408"/>
          <c:h val="0.72088764946048423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const_p105!$G$6:$Q$6</c:f>
              <c:numCache>
                <c:formatCode>General</c:formatCode>
                <c:ptCount val="11"/>
                <c:pt idx="0">
                  <c:v>104786.74969044352</c:v>
                </c:pt>
                <c:pt idx="1">
                  <c:v>104735.69568468926</c:v>
                </c:pt>
                <c:pt idx="2">
                  <c:v>104669.06973257133</c:v>
                </c:pt>
                <c:pt idx="3">
                  <c:v>104580.80925100141</c:v>
                </c:pt>
                <c:pt idx="4">
                  <c:v>104461.9110868548</c:v>
                </c:pt>
                <c:pt idx="5">
                  <c:v>104298.68268516126</c:v>
                </c:pt>
                <c:pt idx="6">
                  <c:v>104069.73174391234</c:v>
                </c:pt>
                <c:pt idx="7">
                  <c:v>103740.59722115673</c:v>
                </c:pt>
                <c:pt idx="8">
                  <c:v>103253.77822206651</c:v>
                </c:pt>
                <c:pt idx="9">
                  <c:v>102509.33114784503</c:v>
                </c:pt>
                <c:pt idx="10">
                  <c:v>101325</c:v>
                </c:pt>
              </c:numCache>
            </c:numRef>
          </c:val>
        </c:ser>
        <c:marker val="1"/>
        <c:axId val="78580352"/>
        <c:axId val="78586240"/>
      </c:lineChart>
      <c:catAx>
        <c:axId val="78580352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86240"/>
        <c:crosses val="autoZero"/>
        <c:auto val="1"/>
        <c:lblAlgn val="ctr"/>
        <c:lblOffset val="100"/>
      </c:catAx>
      <c:valAx>
        <c:axId val="78586240"/>
        <c:scaling>
          <c:orientation val="minMax"/>
          <c:min val="100000"/>
        </c:scaling>
        <c:axPos val="l"/>
        <c:majorGridlines>
          <c:spPr>
            <a:ln cmpd="sng">
              <a:gradFill>
                <a:gsLst>
                  <a:gs pos="0">
                    <a:schemeClr val="accent1">
                      <a:tint val="66000"/>
                      <a:satMod val="160000"/>
                    </a:schemeClr>
                  </a:gs>
                  <a:gs pos="50000">
                    <a:schemeClr val="accent1">
                      <a:tint val="44500"/>
                      <a:satMod val="160000"/>
                    </a:schemeClr>
                  </a:gs>
                  <a:gs pos="100000">
                    <a:schemeClr val="accent1">
                      <a:tint val="23500"/>
                      <a:satMod val="160000"/>
                    </a:schemeClr>
                  </a:gs>
                </a:gsLst>
                <a:lin ang="5400000" scaled="0"/>
              </a:gradFill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580352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917E-4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493775899152129"/>
          <c:y val="0.19486111111111118"/>
          <c:w val="0.74507174103237095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const_p105!$G$2:$Q$2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const_p105!$G$13:$Q$13</c:f>
              <c:numCache>
                <c:formatCode>0.00</c:formatCode>
                <c:ptCount val="11"/>
                <c:pt idx="0" formatCode="General">
                  <c:v>18.971455724631262</c:v>
                </c:pt>
                <c:pt idx="1">
                  <c:v>21.021003515972847</c:v>
                </c:pt>
                <c:pt idx="2">
                  <c:v>23.421546709326705</c:v>
                </c:pt>
                <c:pt idx="3">
                  <c:v>26.258062924428092</c:v>
                </c:pt>
                <c:pt idx="4">
                  <c:v>29.642888449763046</c:v>
                </c:pt>
                <c:pt idx="5">
                  <c:v>33.727017403258657</c:v>
                </c:pt>
                <c:pt idx="6">
                  <c:v>38.717237726899626</c:v>
                </c:pt>
                <c:pt idx="7">
                  <c:v>44.902831069280374</c:v>
                </c:pt>
                <c:pt idx="8">
                  <c:v>52.698461352696171</c:v>
                </c:pt>
                <c:pt idx="9">
                  <c:v>62.715524639686627</c:v>
                </c:pt>
                <c:pt idx="10">
                  <c:v>75.885785248200023</c:v>
                </c:pt>
              </c:numCache>
            </c:numRef>
          </c:val>
        </c:ser>
        <c:marker val="1"/>
        <c:axId val="76754944"/>
        <c:axId val="76756480"/>
      </c:lineChart>
      <c:catAx>
        <c:axId val="76754944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56480"/>
        <c:crosses val="autoZero"/>
        <c:auto val="1"/>
        <c:lblAlgn val="ctr"/>
        <c:lblOffset val="100"/>
      </c:catAx>
      <c:valAx>
        <c:axId val="767564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7549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75E-2"/>
          <c:y val="3.2407407407407419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1"/>
          <c:w val="0.80502367875226066"/>
          <c:h val="0.72088764946048434"/>
        </c:manualLayout>
      </c:layout>
      <c:lineChart>
        <c:grouping val="standard"/>
        <c:ser>
          <c:idx val="0"/>
          <c:order val="0"/>
          <c:tx>
            <c:strRef>
              <c:f>var_p105!$F$3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var_p105!$G$3:$Q$3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76862976"/>
        <c:axId val="76864512"/>
      </c:lineChart>
      <c:catAx>
        <c:axId val="76862976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64512"/>
        <c:crosses val="autoZero"/>
        <c:auto val="1"/>
        <c:lblAlgn val="ctr"/>
        <c:lblOffset val="100"/>
      </c:catAx>
      <c:valAx>
        <c:axId val="7686451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6862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17E-2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27E-2"/>
          <c:y val="0.17171296296296301"/>
          <c:w val="0.71851618547681517"/>
          <c:h val="0.72088764946048434"/>
        </c:manualLayout>
      </c:layout>
      <c:lineChart>
        <c:grouping val="standard"/>
        <c:ser>
          <c:idx val="1"/>
          <c:order val="0"/>
          <c:tx>
            <c:strRef>
              <c:f>var_p105!$F$10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</c:ser>
        <c:ser>
          <c:idx val="0"/>
          <c:order val="1"/>
          <c:tx>
            <c:strRef>
              <c:f>var_p105!$F$10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var_p105!$G$10:$Q$10</c:f>
              <c:numCache>
                <c:formatCode>0.000</c:formatCode>
                <c:ptCount val="11"/>
                <c:pt idx="0">
                  <c:v>0.45802108266294694</c:v>
                </c:pt>
                <c:pt idx="1">
                  <c:v>0.45802205274429714</c:v>
                </c:pt>
                <c:pt idx="2">
                  <c:v>0.45807673534866261</c:v>
                </c:pt>
                <c:pt idx="3">
                  <c:v>0.45816340495744534</c:v>
                </c:pt>
                <c:pt idx="4">
                  <c:v>0.45827075232910464</c:v>
                </c:pt>
                <c:pt idx="5">
                  <c:v>0.45838593888599438</c:v>
                </c:pt>
                <c:pt idx="6">
                  <c:v>0.45849551753028378</c:v>
                </c:pt>
                <c:pt idx="7">
                  <c:v>0.45858704157640262</c:v>
                </c:pt>
                <c:pt idx="8">
                  <c:v>0.4586514358057997</c:v>
                </c:pt>
                <c:pt idx="9">
                  <c:v>0.45868587055653737</c:v>
                </c:pt>
                <c:pt idx="10">
                  <c:v>0.4586961256338285</c:v>
                </c:pt>
              </c:numCache>
            </c:numRef>
          </c:val>
        </c:ser>
        <c:marker val="1"/>
        <c:axId val="78680064"/>
        <c:axId val="78681600"/>
      </c:lineChart>
      <c:catAx>
        <c:axId val="78680064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681600"/>
        <c:crosses val="autoZero"/>
        <c:auto val="1"/>
        <c:lblAlgn val="ctr"/>
        <c:lblOffset val="100"/>
      </c:catAx>
      <c:valAx>
        <c:axId val="7868160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680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6E-2"/>
          <c:y val="2.314814814814814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1407238429365406"/>
          <c:y val="0.19486111111111118"/>
          <c:w val="0.70184673738412284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var_p105!$G$6:$Q$6</c:f>
              <c:numCache>
                <c:formatCode>General</c:formatCode>
                <c:ptCount val="11"/>
                <c:pt idx="0">
                  <c:v>104795.37046284738</c:v>
                </c:pt>
                <c:pt idx="1">
                  <c:v>104746.20531791639</c:v>
                </c:pt>
                <c:pt idx="2">
                  <c:v>104681.8857714749</c:v>
                </c:pt>
                <c:pt idx="3">
                  <c:v>104596.46859521579</c:v>
                </c:pt>
                <c:pt idx="4">
                  <c:v>104481.07197642179</c:v>
                </c:pt>
                <c:pt idx="5">
                  <c:v>104322.10705669131</c:v>
                </c:pt>
                <c:pt idx="6">
                  <c:v>104098.16192725667</c:v>
                </c:pt>
                <c:pt idx="7">
                  <c:v>103774.30941407706</c:v>
                </c:pt>
                <c:pt idx="8">
                  <c:v>103291.16099902632</c:v>
                </c:pt>
                <c:pt idx="9">
                  <c:v>102542.43320918738</c:v>
                </c:pt>
                <c:pt idx="10">
                  <c:v>101325</c:v>
                </c:pt>
              </c:numCache>
            </c:numRef>
          </c:val>
        </c:ser>
        <c:marker val="1"/>
        <c:axId val="78718080"/>
        <c:axId val="78719616"/>
      </c:lineChart>
      <c:catAx>
        <c:axId val="78718080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719616"/>
        <c:crosses val="autoZero"/>
        <c:auto val="1"/>
        <c:lblAlgn val="ctr"/>
        <c:lblOffset val="100"/>
      </c:catAx>
      <c:valAx>
        <c:axId val="78719616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7180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917E-4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493775899152129"/>
          <c:y val="0.19486111111111118"/>
          <c:w val="0.74507174103237095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var_p105!$G$2:$Q$2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var_p105!$G$13:$Q$13</c:f>
              <c:numCache>
                <c:formatCode>0.00</c:formatCode>
                <c:ptCount val="11"/>
                <c:pt idx="0" formatCode="General">
                  <c:v>17.96571550535436</c:v>
                </c:pt>
                <c:pt idx="1">
                  <c:v>19.913455981592517</c:v>
                </c:pt>
                <c:pt idx="2">
                  <c:v>22.200110360834749</c:v>
                </c:pt>
                <c:pt idx="3">
                  <c:v>24.908247456591255</c:v>
                </c:pt>
                <c:pt idx="4">
                  <c:v>28.148357627262506</c:v>
                </c:pt>
                <c:pt idx="5">
                  <c:v>32.070331583152644</c:v>
                </c:pt>
                <c:pt idx="6">
                  <c:v>36.882261654019779</c:v>
                </c:pt>
                <c:pt idx="7">
                  <c:v>42.881188334412563</c:v>
                </c:pt>
                <c:pt idx="8">
                  <c:v>50.505937196002144</c:v>
                </c:pt>
                <c:pt idx="9">
                  <c:v>60.433938702113757</c:v>
                </c:pt>
                <c:pt idx="10">
                  <c:v>73.774964942658258</c:v>
                </c:pt>
              </c:numCache>
            </c:numRef>
          </c:val>
        </c:ser>
        <c:marker val="1"/>
        <c:axId val="78760192"/>
        <c:axId val="78766080"/>
      </c:lineChart>
      <c:catAx>
        <c:axId val="78760192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766080"/>
        <c:crosses val="autoZero"/>
        <c:auto val="1"/>
        <c:lblAlgn val="ctr"/>
        <c:lblOffset val="100"/>
      </c:catAx>
      <c:valAx>
        <c:axId val="787660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8760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75E-2"/>
          <c:y val="3.2407407407407419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1"/>
          <c:w val="0.80502367875226066"/>
          <c:h val="0.72088764946048434"/>
        </c:manualLayout>
      </c:layout>
      <c:lineChart>
        <c:grouping val="standard"/>
        <c:ser>
          <c:idx val="0"/>
          <c:order val="0"/>
          <c:tx>
            <c:strRef>
              <c:f>'const_M1,5'!$F$3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'const_M1,5'!$G$2:$Q$2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'const_M1,5'!$G$3:$Q$3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79101952"/>
        <c:axId val="79103488"/>
      </c:lineChart>
      <c:catAx>
        <c:axId val="79101952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03488"/>
        <c:crosses val="autoZero"/>
        <c:auto val="1"/>
        <c:lblAlgn val="ctr"/>
        <c:lblOffset val="100"/>
      </c:catAx>
      <c:valAx>
        <c:axId val="7910348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01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17E-2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27E-2"/>
          <c:y val="0.17171296296296301"/>
          <c:w val="0.71851618547681517"/>
          <c:h val="0.72088764946048434"/>
        </c:manualLayout>
      </c:layout>
      <c:lineChart>
        <c:grouping val="standard"/>
        <c:ser>
          <c:idx val="1"/>
          <c:order val="0"/>
          <c:tx>
            <c:strRef>
              <c:f>'const_M1,5'!$F$10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'const_M1,5'!$G$2:$Q$2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'const_M1,5'!$G$10:$Q$10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val>
        </c:ser>
        <c:ser>
          <c:idx val="0"/>
          <c:order val="1"/>
          <c:tx>
            <c:strRef>
              <c:f>'const_M1,5'!$F$10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'const_M1,5'!$G$2:$Q$2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'const_M1,5'!$G$10:$Q$10</c:f>
              <c:numCache>
                <c:formatCode>0.000</c:formatCode>
                <c:ptCount val="11"/>
                <c:pt idx="0">
                  <c:v>2.5439728909582437</c:v>
                </c:pt>
                <c:pt idx="1">
                  <c:v>2.5439784418729214</c:v>
                </c:pt>
                <c:pt idx="2">
                  <c:v>2.544289303683049</c:v>
                </c:pt>
                <c:pt idx="3">
                  <c:v>2.5447044495398883</c:v>
                </c:pt>
                <c:pt idx="4">
                  <c:v>2.5451770625558776</c:v>
                </c:pt>
                <c:pt idx="5">
                  <c:v>2.5456561547186798</c:v>
                </c:pt>
                <c:pt idx="6">
                  <c:v>2.5460909585667735</c:v>
                </c:pt>
                <c:pt idx="7" formatCode="0.00">
                  <c:v>2.5464378453092893</c:v>
                </c:pt>
                <c:pt idx="8">
                  <c:v>2.5466695876878793</c:v>
                </c:pt>
                <c:pt idx="9">
                  <c:v>2.5467851863366322</c:v>
                </c:pt>
                <c:pt idx="10">
                  <c:v>2.5468154468156907</c:v>
                </c:pt>
              </c:numCache>
            </c:numRef>
          </c:val>
        </c:ser>
        <c:marker val="1"/>
        <c:axId val="79132928"/>
        <c:axId val="79147008"/>
      </c:lineChart>
      <c:catAx>
        <c:axId val="7913292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47008"/>
        <c:crosses val="autoZero"/>
        <c:auto val="1"/>
        <c:lblAlgn val="ctr"/>
        <c:lblOffset val="100"/>
      </c:catAx>
      <c:valAx>
        <c:axId val="7914700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79132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6E-2"/>
          <c:y val="2.314814814814814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1684051780225892"/>
          <c:y val="0.17171296296296298"/>
          <c:w val="0.72537587220726385"/>
          <c:h val="0.72088764946048423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'const_M1,5'!$G$2:$Q$2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'const_M1,5'!$G$6:$Q$6</c:f>
              <c:numCache>
                <c:formatCode>General</c:formatCode>
                <c:ptCount val="11"/>
                <c:pt idx="0">
                  <c:v>211245.16057183896</c:v>
                </c:pt>
                <c:pt idx="1">
                  <c:v>209627.88029721737</c:v>
                </c:pt>
                <c:pt idx="2">
                  <c:v>207514.57687025546</c:v>
                </c:pt>
                <c:pt idx="3">
                  <c:v>204713.35765700546</c:v>
                </c:pt>
                <c:pt idx="4">
                  <c:v>200938.0193143356</c:v>
                </c:pt>
                <c:pt idx="5">
                  <c:v>195753.54995743209</c:v>
                </c:pt>
                <c:pt idx="6">
                  <c:v>188480.7162976643</c:v>
                </c:pt>
                <c:pt idx="7">
                  <c:v>178025.8488447472</c:v>
                </c:pt>
                <c:pt idx="8">
                  <c:v>162564.54158267644</c:v>
                </c:pt>
                <c:pt idx="9">
                  <c:v>138925.69777259091</c:v>
                </c:pt>
                <c:pt idx="10">
                  <c:v>101325</c:v>
                </c:pt>
              </c:numCache>
            </c:numRef>
          </c:val>
        </c:ser>
        <c:marker val="1"/>
        <c:axId val="80293248"/>
        <c:axId val="80295040"/>
      </c:lineChart>
      <c:catAx>
        <c:axId val="8029324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295040"/>
        <c:crosses val="autoZero"/>
        <c:auto val="1"/>
        <c:lblAlgn val="ctr"/>
        <c:lblOffset val="100"/>
      </c:catAx>
      <c:valAx>
        <c:axId val="80295040"/>
        <c:scaling>
          <c:orientation val="minMax"/>
          <c:min val="9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293248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917E-4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493775899152129"/>
          <c:y val="0.19486111111111118"/>
          <c:w val="0.74507174103237095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'const_M1,5'!$G$2:$Q$2</c:f>
              <c:numCache>
                <c:formatCode>General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'const_M1,5'!$G$13:$Q$13</c:f>
              <c:numCache>
                <c:formatCode>General</c:formatCode>
                <c:ptCount val="11"/>
                <c:pt idx="0">
                  <c:v>106.77369743876154</c:v>
                </c:pt>
                <c:pt idx="1">
                  <c:v>118.30906417455424</c:v>
                </c:pt>
                <c:pt idx="2">
                  <c:v>131.83577490525659</c:v>
                </c:pt>
                <c:pt idx="3">
                  <c:v>147.82616174361391</c:v>
                </c:pt>
                <c:pt idx="4">
                  <c:v>166.9128718972006</c:v>
                </c:pt>
                <c:pt idx="5">
                  <c:v>189.9455041893037</c:v>
                </c:pt>
                <c:pt idx="6">
                  <c:v>218.08692931277685</c:v>
                </c:pt>
                <c:pt idx="7">
                  <c:v>252.96367959781344</c:v>
                </c:pt>
                <c:pt idx="8">
                  <c:v>296.90800318091112</c:v>
                </c:pt>
                <c:pt idx="9">
                  <c:v>353.36110070674175</c:v>
                </c:pt>
                <c:pt idx="10">
                  <c:v>427.57201213450554</c:v>
                </c:pt>
              </c:numCache>
            </c:numRef>
          </c:val>
        </c:ser>
        <c:marker val="1"/>
        <c:axId val="80343808"/>
        <c:axId val="80345344"/>
      </c:lineChart>
      <c:catAx>
        <c:axId val="80343808"/>
        <c:scaling>
          <c:orientation val="minMax"/>
        </c:scaling>
        <c:axPos val="b"/>
        <c:numFmt formatCode="General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345344"/>
        <c:crosses val="autoZero"/>
        <c:auto val="1"/>
        <c:lblAlgn val="ctr"/>
        <c:lblOffset val="100"/>
      </c:catAx>
      <c:valAx>
        <c:axId val="80345344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343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R, [m]</a:t>
            </a:r>
          </a:p>
        </c:rich>
      </c:tx>
      <c:layout>
        <c:manualLayout>
          <c:xMode val="edge"/>
          <c:yMode val="edge"/>
          <c:x val="2.2777777777777775E-2"/>
          <c:y val="3.2407407407407419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8.1332461252146826E-2"/>
          <c:y val="0.17171296296296301"/>
          <c:w val="0.80502367875226066"/>
          <c:h val="0.72088764946048434"/>
        </c:manualLayout>
      </c:layout>
      <c:lineChart>
        <c:grouping val="standard"/>
        <c:ser>
          <c:idx val="0"/>
          <c:order val="0"/>
          <c:tx>
            <c:strRef>
              <c:f>'var_M1,5'!$F$3</c:f>
              <c:strCache>
                <c:ptCount val="1"/>
                <c:pt idx="0">
                  <c:v>R</c:v>
                </c:pt>
              </c:strCache>
            </c:strRef>
          </c:tx>
          <c:spPr>
            <a:ln w="28575" cap="rnd">
              <a:solidFill>
                <a:sysClr val="windowText" lastClr="000000"/>
              </a:solidFill>
              <a:round/>
            </a:ln>
            <a:effectLst/>
          </c:spPr>
          <c:marker>
            <c:symbol val="none"/>
          </c:marker>
          <c:cat>
            <c:numRef>
              <c:f>'var_M1,5'!$G$2:$Q$2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'var_M1,5'!$G$3:$Q$3</c:f>
              <c:numCache>
                <c:formatCode>General</c:formatCode>
                <c:ptCount val="11"/>
                <c:pt idx="0">
                  <c:v>0.08</c:v>
                </c:pt>
                <c:pt idx="1">
                  <c:v>7.5999999999999998E-2</c:v>
                </c:pt>
                <c:pt idx="2">
                  <c:v>7.1999999999999995E-2</c:v>
                </c:pt>
                <c:pt idx="3">
                  <c:v>6.7999999999999991E-2</c:v>
                </c:pt>
                <c:pt idx="4">
                  <c:v>6.3999999999999987E-2</c:v>
                </c:pt>
                <c:pt idx="5">
                  <c:v>5.9999999999999984E-2</c:v>
                </c:pt>
                <c:pt idx="6">
                  <c:v>5.599999999999998E-2</c:v>
                </c:pt>
                <c:pt idx="7">
                  <c:v>5.1999999999999977E-2</c:v>
                </c:pt>
                <c:pt idx="8">
                  <c:v>4.7999999999999973E-2</c:v>
                </c:pt>
                <c:pt idx="9">
                  <c:v>4.399999999999997E-2</c:v>
                </c:pt>
                <c:pt idx="10">
                  <c:v>0.04</c:v>
                </c:pt>
              </c:numCache>
            </c:numRef>
          </c:val>
        </c:ser>
        <c:marker val="1"/>
        <c:axId val="80386304"/>
        <c:axId val="80392192"/>
      </c:lineChart>
      <c:catAx>
        <c:axId val="80386304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392192"/>
        <c:crosses val="autoZero"/>
        <c:auto val="1"/>
        <c:lblAlgn val="ctr"/>
        <c:lblOffset val="100"/>
      </c:catAx>
      <c:valAx>
        <c:axId val="80392192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38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n>
            <a:noFill/>
          </a:ln>
        </a:defRPr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G, [kg/s]</a:t>
            </a:r>
          </a:p>
        </c:rich>
      </c:tx>
      <c:layout>
        <c:manualLayout>
          <c:xMode val="edge"/>
          <c:yMode val="edge"/>
          <c:x val="2.1069335083114617E-2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9.8150481189851327E-2"/>
          <c:y val="0.17171296296296301"/>
          <c:w val="0.71851618547681517"/>
          <c:h val="0.72088764946048434"/>
        </c:manualLayout>
      </c:layout>
      <c:lineChart>
        <c:grouping val="standard"/>
        <c:ser>
          <c:idx val="1"/>
          <c:order val="0"/>
          <c:tx>
            <c:strRef>
              <c:f>'var_M1,5'!$F$10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'var_M1,5'!$G$2:$Q$2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'var_M1,5'!$G$10:$Q$10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</c:ser>
        <c:ser>
          <c:idx val="0"/>
          <c:order val="1"/>
          <c:tx>
            <c:strRef>
              <c:f>'var_M1,5'!$F$10</c:f>
              <c:strCache>
                <c:ptCount val="1"/>
                <c:pt idx="0">
                  <c:v>G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'var_M1,5'!$G$2:$Q$2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'var_M1,5'!$G$10:$Q$10</c:f>
              <c:numCache>
                <c:formatCode>0.000</c:formatCode>
                <c:ptCount val="11"/>
                <c:pt idx="0">
                  <c:v>3.7365151638484457</c:v>
                </c:pt>
                <c:pt idx="1">
                  <c:v>3.7364813273297557</c:v>
                </c:pt>
                <c:pt idx="2">
                  <c:v>3.7346488830186</c:v>
                </c:pt>
                <c:pt idx="3">
                  <c:v>3.7338523992900572</c:v>
                </c:pt>
                <c:pt idx="4">
                  <c:v>3.7340394825870904</c:v>
                </c:pt>
                <c:pt idx="5">
                  <c:v>3.7350992126599238</c:v>
                </c:pt>
                <c:pt idx="6">
                  <c:v>3.736846777463863</c:v>
                </c:pt>
                <c:pt idx="7">
                  <c:v>3.7390113973563137</c:v>
                </c:pt>
                <c:pt idx="8">
                  <c:v>3.7412347561835015</c:v>
                </c:pt>
                <c:pt idx="9">
                  <c:v>3.7430922732157503</c:v>
                </c:pt>
                <c:pt idx="10">
                  <c:v>3.7441534079009555</c:v>
                </c:pt>
              </c:numCache>
            </c:numRef>
          </c:val>
        </c:ser>
        <c:marker val="1"/>
        <c:axId val="80769792"/>
        <c:axId val="80771328"/>
      </c:lineChart>
      <c:catAx>
        <c:axId val="80769792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771328"/>
        <c:crosses val="autoZero"/>
        <c:auto val="1"/>
        <c:lblAlgn val="ctr"/>
        <c:lblOffset val="100"/>
      </c:catAx>
      <c:valAx>
        <c:axId val="80771328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0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76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P,</a:t>
            </a:r>
            <a:r>
              <a:rPr lang="en-US" baseline="0"/>
              <a:t> [Pa]</a:t>
            </a:r>
            <a:endParaRPr lang="ru-RU"/>
          </a:p>
        </c:rich>
      </c:tx>
      <c:layout>
        <c:manualLayout>
          <c:xMode val="edge"/>
          <c:yMode val="edge"/>
          <c:x val="2.9199585655555426E-2"/>
          <c:y val="2.3148148148148147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1407238429365406"/>
          <c:y val="0.19486111111111118"/>
          <c:w val="0.70184673738412284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'var_M1,5'!$G$2:$Q$2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'var_M1,5'!$G$6:$Q$6</c:f>
              <c:numCache>
                <c:formatCode>General</c:formatCode>
                <c:ptCount val="11"/>
                <c:pt idx="0">
                  <c:v>345885.48181827401</c:v>
                </c:pt>
                <c:pt idx="1">
                  <c:v>344879.25937080476</c:v>
                </c:pt>
                <c:pt idx="2">
                  <c:v>343562.97041012999</c:v>
                </c:pt>
                <c:pt idx="3">
                  <c:v>341797.63022535248</c:v>
                </c:pt>
                <c:pt idx="4">
                  <c:v>339380.5659845976</c:v>
                </c:pt>
                <c:pt idx="5">
                  <c:v>335988.65948717593</c:v>
                </c:pt>
                <c:pt idx="6">
                  <c:v>331081.85058878252</c:v>
                </c:pt>
                <c:pt idx="7">
                  <c:v>323696.64769306255</c:v>
                </c:pt>
                <c:pt idx="8">
                  <c:v>311934.4041231263</c:v>
                </c:pt>
                <c:pt idx="9">
                  <c:v>291317.57904759562</c:v>
                </c:pt>
                <c:pt idx="10">
                  <c:v>101325</c:v>
                </c:pt>
              </c:numCache>
            </c:numRef>
          </c:val>
        </c:ser>
        <c:marker val="1"/>
        <c:axId val="80938880"/>
        <c:axId val="80940416"/>
      </c:lineChart>
      <c:catAx>
        <c:axId val="80938880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940416"/>
        <c:crosses val="autoZero"/>
        <c:auto val="1"/>
        <c:lblAlgn val="ctr"/>
        <c:lblOffset val="100"/>
      </c:catAx>
      <c:valAx>
        <c:axId val="80940416"/>
        <c:scaling>
          <c:orientation val="minMax"/>
          <c:min val="100000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938880"/>
        <c:crosses val="autoZero"/>
        <c:crossBetween val="between"/>
      </c:valAx>
      <c:spPr>
        <a:noFill/>
        <a:ln w="25400"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ru-RU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U,</a:t>
            </a:r>
            <a:r>
              <a:rPr lang="en-US" baseline="0"/>
              <a:t> [m/s]</a:t>
            </a:r>
            <a:endParaRPr lang="ru-RU"/>
          </a:p>
        </c:rich>
      </c:tx>
      <c:layout>
        <c:manualLayout>
          <c:xMode val="edge"/>
          <c:yMode val="edge"/>
          <c:x val="6.5057927123756917E-4"/>
          <c:y val="2.7777777777777801E-2"/>
        </c:manualLayout>
      </c:layout>
      <c:spPr>
        <a:noFill/>
        <a:ln>
          <a:noFill/>
        </a:ln>
        <a:effectLst/>
      </c:spPr>
    </c:title>
    <c:plotArea>
      <c:layout>
        <c:manualLayout>
          <c:layoutTarget val="inner"/>
          <c:xMode val="edge"/>
          <c:yMode val="edge"/>
          <c:x val="0.10493775899152129"/>
          <c:y val="0.19486111111111118"/>
          <c:w val="0.74507174103237095"/>
          <c:h val="0.72088764946048434"/>
        </c:manualLayout>
      </c:layout>
      <c:lineChart>
        <c:grouping val="standard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'var_M1,5'!$G$2:$Q$2</c:f>
              <c:numCache>
                <c:formatCode>0.000</c:formatCode>
                <c:ptCount val="11"/>
                <c:pt idx="0">
                  <c:v>0</c:v>
                </c:pt>
                <c:pt idx="1">
                  <c:v>0.01</c:v>
                </c:pt>
                <c:pt idx="2">
                  <c:v>0.02</c:v>
                </c:pt>
                <c:pt idx="3">
                  <c:v>0.03</c:v>
                </c:pt>
                <c:pt idx="4">
                  <c:v>0.04</c:v>
                </c:pt>
                <c:pt idx="5">
                  <c:v>0.05</c:v>
                </c:pt>
                <c:pt idx="6">
                  <c:v>6.0000000000000005E-2</c:v>
                </c:pt>
                <c:pt idx="7">
                  <c:v>7.0000000000000007E-2</c:v>
                </c:pt>
                <c:pt idx="8">
                  <c:v>0.08</c:v>
                </c:pt>
                <c:pt idx="9">
                  <c:v>0.09</c:v>
                </c:pt>
                <c:pt idx="10">
                  <c:v>9.9999999999999992E-2</c:v>
                </c:pt>
              </c:numCache>
            </c:numRef>
          </c:cat>
          <c:val>
            <c:numRef>
              <c:f>'var_M1,5'!$G$13:$Q$13</c:f>
              <c:numCache>
                <c:formatCode>0.00</c:formatCode>
                <c:ptCount val="11"/>
                <c:pt idx="0" formatCode="General">
                  <c:v>44.279655388571626</c:v>
                </c:pt>
                <c:pt idx="1">
                  <c:v>49.167076154097323</c:v>
                </c:pt>
                <c:pt idx="2">
                  <c:v>54.907783128874669</c:v>
                </c:pt>
                <c:pt idx="3">
                  <c:v>61.776160474409025</c:v>
                </c:pt>
                <c:pt idx="4">
                  <c:v>70.105521972519099</c:v>
                </c:pt>
                <c:pt idx="5">
                  <c:v>80.375609449287566</c:v>
                </c:pt>
                <c:pt idx="6">
                  <c:v>93.311479205994601</c:v>
                </c:pt>
                <c:pt idx="7">
                  <c:v>110.08948017821383</c:v>
                </c:pt>
                <c:pt idx="8">
                  <c:v>132.8452587119364</c:v>
                </c:pt>
                <c:pt idx="9">
                  <c:v>166.34474513447597</c:v>
                </c:pt>
                <c:pt idx="10">
                  <c:v>421.4106349888167</c:v>
                </c:pt>
              </c:numCache>
            </c:numRef>
          </c:val>
        </c:ser>
        <c:marker val="1"/>
        <c:axId val="80980992"/>
        <c:axId val="80986880"/>
      </c:lineChart>
      <c:catAx>
        <c:axId val="80980992"/>
        <c:scaling>
          <c:orientation val="minMax"/>
        </c:scaling>
        <c:axPos val="b"/>
        <c:numFmt formatCode="0.000" sourceLinked="1"/>
        <c:maj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986880"/>
        <c:crosses val="autoZero"/>
        <c:auto val="1"/>
        <c:lblAlgn val="ctr"/>
        <c:lblOffset val="100"/>
      </c:catAx>
      <c:valAx>
        <c:axId val="80986880"/>
        <c:scaling>
          <c:orientation val="minMax"/>
        </c:scaling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80980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000000000000022" l="0.70000000000000018" r="0.70000000000000018" t="0.75000000000000022" header="0.3000000000000001" footer="0.3000000000000001"/>
    <c:pageSetup/>
  </c:printSettings>
  <c:userShapes r:id="rId1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3" name="Диаграмма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340178</xdr:colOff>
      <xdr:row>7</xdr:row>
      <xdr:rowOff>131990</xdr:rowOff>
    </xdr:from>
    <xdr:to>
      <xdr:col>26</xdr:col>
      <xdr:colOff>190499</xdr:colOff>
      <xdr:row>22</xdr:row>
      <xdr:rowOff>17690</xdr:rowOff>
    </xdr:to>
    <xdr:graphicFrame macro="">
      <xdr:nvGraphicFramePr>
        <xdr:cNvPr id="9" name="Диаграмма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401409</xdr:colOff>
      <xdr:row>23</xdr:row>
      <xdr:rowOff>77560</xdr:rowOff>
    </xdr:from>
    <xdr:to>
      <xdr:col>25</xdr:col>
      <xdr:colOff>74838</xdr:colOff>
      <xdr:row>37</xdr:row>
      <xdr:rowOff>153760</xdr:rowOff>
    </xdr:to>
    <xdr:graphicFrame macro="">
      <xdr:nvGraphicFramePr>
        <xdr:cNvPr id="10" name="Диаграмма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0.90451</cdr:x>
      <cdr:y>0.87157</cdr:y>
    </cdr:from>
    <cdr:to>
      <cdr:x>1</cdr:x>
      <cdr:y>0.97196</cdr:y>
    </cdr:to>
    <cdr:sp macro="" textlink="">
      <cdr:nvSpPr>
        <cdr:cNvPr id="4" name="TextBox 1"/>
        <cdr:cNvSpPr txBox="1"/>
      </cdr:nvSpPr>
      <cdr:spPr>
        <a:xfrm xmlns:a="http://schemas.openxmlformats.org/drawingml/2006/main">
          <a:off x="4320563" y="2390900"/>
          <a:ext cx="456135" cy="2753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0.87448</cdr:x>
      <cdr:y>0.877</cdr:y>
    </cdr:from>
    <cdr:to>
      <cdr:x>0.99163</cdr:x>
      <cdr:y>0.98264</cdr:y>
    </cdr:to>
    <cdr:sp macro="" textlink="">
      <cdr:nvSpPr>
        <cdr:cNvPr id="3" name="TextBox 1"/>
        <cdr:cNvSpPr txBox="1"/>
      </cdr:nvSpPr>
      <cdr:spPr>
        <a:xfrm xmlns:a="http://schemas.openxmlformats.org/drawingml/2006/main">
          <a:off x="3981452" y="2405783"/>
          <a:ext cx="533398" cy="289792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150358</xdr:colOff>
      <xdr:row>24</xdr:row>
      <xdr:rowOff>102734</xdr:rowOff>
    </xdr:from>
    <xdr:to>
      <xdr:col>8</xdr:col>
      <xdr:colOff>12246</xdr:colOff>
      <xdr:row>38</xdr:row>
      <xdr:rowOff>178934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574221</xdr:colOff>
      <xdr:row>24</xdr:row>
      <xdr:rowOff>30616</xdr:rowOff>
    </xdr:from>
    <xdr:to>
      <xdr:col>16</xdr:col>
      <xdr:colOff>39460</xdr:colOff>
      <xdr:row>38</xdr:row>
      <xdr:rowOff>106816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513628</xdr:colOff>
      <xdr:row>7</xdr:row>
      <xdr:rowOff>94328</xdr:rowOff>
    </xdr:from>
    <xdr:to>
      <xdr:col>25</xdr:col>
      <xdr:colOff>202986</xdr:colOff>
      <xdr:row>21</xdr:row>
      <xdr:rowOff>170528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566834</xdr:colOff>
      <xdr:row>24</xdr:row>
      <xdr:rowOff>101907</xdr:rowOff>
    </xdr:from>
    <xdr:to>
      <xdr:col>25</xdr:col>
      <xdr:colOff>249788</xdr:colOff>
      <xdr:row>38</xdr:row>
      <xdr:rowOff>178107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625929</xdr:colOff>
      <xdr:row>50</xdr:row>
      <xdr:rowOff>129708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0.83886</cdr:x>
      <cdr:y>0.87977</cdr:y>
    </cdr:from>
    <cdr:to>
      <cdr:x>1</cdr:x>
      <cdr:y>0.98016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379862" y="2413382"/>
          <a:ext cx="794296" cy="27539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150358</xdr:colOff>
      <xdr:row>24</xdr:row>
      <xdr:rowOff>102734</xdr:rowOff>
    </xdr:from>
    <xdr:to>
      <xdr:col>8</xdr:col>
      <xdr:colOff>12246</xdr:colOff>
      <xdr:row>38</xdr:row>
      <xdr:rowOff>178934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574221</xdr:colOff>
      <xdr:row>24</xdr:row>
      <xdr:rowOff>30616</xdr:rowOff>
    </xdr:from>
    <xdr:to>
      <xdr:col>16</xdr:col>
      <xdr:colOff>39460</xdr:colOff>
      <xdr:row>38</xdr:row>
      <xdr:rowOff>106816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187056</xdr:colOff>
      <xdr:row>40</xdr:row>
      <xdr:rowOff>94328</xdr:rowOff>
    </xdr:from>
    <xdr:to>
      <xdr:col>7</xdr:col>
      <xdr:colOff>447914</xdr:colOff>
      <xdr:row>54</xdr:row>
      <xdr:rowOff>170528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485191</xdr:colOff>
      <xdr:row>40</xdr:row>
      <xdr:rowOff>115514</xdr:rowOff>
    </xdr:from>
    <xdr:to>
      <xdr:col>15</xdr:col>
      <xdr:colOff>589966</xdr:colOff>
      <xdr:row>55</xdr:row>
      <xdr:rowOff>1214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585786</xdr:colOff>
      <xdr:row>20</xdr:row>
      <xdr:rowOff>61912</xdr:rowOff>
    </xdr:from>
    <xdr:to>
      <xdr:col>8</xdr:col>
      <xdr:colOff>447674</xdr:colOff>
      <xdr:row>34</xdr:row>
      <xdr:rowOff>138112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9</xdr:col>
      <xdr:colOff>152400</xdr:colOff>
      <xdr:row>20</xdr:row>
      <xdr:rowOff>71437</xdr:rowOff>
    </xdr:from>
    <xdr:to>
      <xdr:col>16</xdr:col>
      <xdr:colOff>257175</xdr:colOff>
      <xdr:row>34</xdr:row>
      <xdr:rowOff>147637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50986</xdr:colOff>
      <xdr:row>36</xdr:row>
      <xdr:rowOff>53508</xdr:rowOff>
    </xdr:from>
    <xdr:to>
      <xdr:col>8</xdr:col>
      <xdr:colOff>284629</xdr:colOff>
      <xdr:row>50</xdr:row>
      <xdr:rowOff>129708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158619</xdr:colOff>
      <xdr:row>36</xdr:row>
      <xdr:rowOff>20264</xdr:rowOff>
    </xdr:from>
    <xdr:to>
      <xdr:col>16</xdr:col>
      <xdr:colOff>263394</xdr:colOff>
      <xdr:row>50</xdr:row>
      <xdr:rowOff>96464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150358</xdr:colOff>
      <xdr:row>24</xdr:row>
      <xdr:rowOff>102734</xdr:rowOff>
    </xdr:from>
    <xdr:to>
      <xdr:col>8</xdr:col>
      <xdr:colOff>12246</xdr:colOff>
      <xdr:row>38</xdr:row>
      <xdr:rowOff>178934</xdr:rowOff>
    </xdr:to>
    <xdr:graphicFrame macro="">
      <xdr:nvGraphicFramePr>
        <xdr:cNvPr id="2" name="Диаграмма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574221</xdr:colOff>
      <xdr:row>24</xdr:row>
      <xdr:rowOff>30616</xdr:rowOff>
    </xdr:from>
    <xdr:to>
      <xdr:col>16</xdr:col>
      <xdr:colOff>39460</xdr:colOff>
      <xdr:row>38</xdr:row>
      <xdr:rowOff>106816</xdr:rowOff>
    </xdr:to>
    <xdr:graphicFrame macro="">
      <xdr:nvGraphicFramePr>
        <xdr:cNvPr id="3" name="Диаграмма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187056</xdr:colOff>
      <xdr:row>40</xdr:row>
      <xdr:rowOff>94328</xdr:rowOff>
    </xdr:from>
    <xdr:to>
      <xdr:col>7</xdr:col>
      <xdr:colOff>447914</xdr:colOff>
      <xdr:row>54</xdr:row>
      <xdr:rowOff>170528</xdr:rowOff>
    </xdr:to>
    <xdr:graphicFrame macro="">
      <xdr:nvGraphicFramePr>
        <xdr:cNvPr id="4" name="Диаграмма 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8</xdr:col>
      <xdr:colOff>485191</xdr:colOff>
      <xdr:row>40</xdr:row>
      <xdr:rowOff>115514</xdr:rowOff>
    </xdr:from>
    <xdr:to>
      <xdr:col>15</xdr:col>
      <xdr:colOff>589966</xdr:colOff>
      <xdr:row>55</xdr:row>
      <xdr:rowOff>1214</xdr:rowOff>
    </xdr:to>
    <xdr:graphicFrame macro="">
      <xdr:nvGraphicFramePr>
        <xdr:cNvPr id="5" name="Диаграмма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0.88107</cdr:x>
      <cdr:y>0.88021</cdr:y>
    </cdr:from>
    <cdr:to>
      <cdr:x>0.97225</cdr:x>
      <cdr:y>0.98611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4233863" y="2414587"/>
          <a:ext cx="438151" cy="290513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0.825</cdr:x>
      <cdr:y>0.83507</cdr:y>
    </cdr:from>
    <cdr:to>
      <cdr:x>0.94792</cdr:x>
      <cdr:y>0.96007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71900" y="2290763"/>
          <a:ext cx="561975" cy="3429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 [m]</a:t>
          </a:r>
          <a:endParaRPr lang="ru-RU" sz="14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0.81668</cdr:x>
      <cdr:y>0.89961</cdr:y>
    </cdr:from>
    <cdr:to>
      <cdr:x>0.97782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714190" y="2467816"/>
          <a:ext cx="732864" cy="2753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r>
            <a:rPr lang="en-US" sz="1400"/>
            <a:t>X,</a:t>
          </a:r>
          <a:r>
            <a:rPr lang="en-US" sz="1400" baseline="0"/>
            <a:t> [m]</a:t>
          </a:r>
          <a:endParaRPr lang="ru-RU" sz="14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0.84692</cdr:x>
      <cdr:y>0.89436</cdr:y>
    </cdr:from>
    <cdr:to>
      <cdr:x>1</cdr:x>
      <cdr:y>1</cdr:y>
    </cdr:to>
    <cdr:sp macro="" textlink="">
      <cdr:nvSpPr>
        <cdr:cNvPr id="2" name="TextBox 1"/>
        <cdr:cNvSpPr txBox="1"/>
      </cdr:nvSpPr>
      <cdr:spPr>
        <a:xfrm xmlns:a="http://schemas.openxmlformats.org/drawingml/2006/main">
          <a:off x="3866280" y="2453422"/>
          <a:ext cx="698822" cy="28977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400">
              <a:effectLst/>
              <a:latin typeface="+mn-lt"/>
              <a:ea typeface="+mn-ea"/>
              <a:cs typeface="+mn-cs"/>
            </a:rPr>
            <a:t>X,</a:t>
          </a:r>
          <a:r>
            <a:rPr lang="en-US" sz="1400" baseline="0">
              <a:effectLst/>
              <a:latin typeface="+mn-lt"/>
              <a:ea typeface="+mn-ea"/>
              <a:cs typeface="+mn-cs"/>
            </a:rPr>
            <a:t> [m]</a:t>
          </a:r>
          <a:endParaRPr lang="ru-RU" sz="1400">
            <a:effectLst/>
          </a:endParaRPr>
        </a:p>
        <a:p xmlns:a="http://schemas.openxmlformats.org/drawingml/2006/main">
          <a:endParaRPr lang="ru-RU" sz="1100"/>
        </a:p>
      </cdr:txBody>
    </cdr:sp>
  </cdr:relSizeAnchor>
</c:userShape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21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26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B1:X24"/>
  <sheetViews>
    <sheetView zoomScale="70" zoomScaleNormal="70" workbookViewId="0">
      <selection activeCell="AB22" sqref="AB22"/>
    </sheetView>
  </sheetViews>
  <sheetFormatPr defaultRowHeight="15"/>
  <cols>
    <col min="7" max="7" width="9.7109375" bestFit="1" customWidth="1"/>
    <col min="8" max="17" width="9.5703125" bestFit="1" customWidth="1"/>
  </cols>
  <sheetData>
    <row r="1" spans="2:24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24">
      <c r="F2" s="1" t="s">
        <v>10</v>
      </c>
      <c r="G2" s="1">
        <v>0</v>
      </c>
      <c r="H2" s="1">
        <f>G2+$C$4</f>
        <v>0.01</v>
      </c>
      <c r="I2" s="1">
        <f t="shared" ref="I2:Q2" si="0">H2+$C$4</f>
        <v>0.02</v>
      </c>
      <c r="J2" s="1">
        <f t="shared" si="0"/>
        <v>0.03</v>
      </c>
      <c r="K2" s="1">
        <f t="shared" si="0"/>
        <v>0.04</v>
      </c>
      <c r="L2" s="1">
        <f t="shared" si="0"/>
        <v>0.05</v>
      </c>
      <c r="M2" s="1">
        <f t="shared" si="0"/>
        <v>6.0000000000000005E-2</v>
      </c>
      <c r="N2" s="1">
        <f t="shared" si="0"/>
        <v>7.0000000000000007E-2</v>
      </c>
      <c r="O2" s="1">
        <f t="shared" si="0"/>
        <v>0.08</v>
      </c>
      <c r="P2" s="1">
        <f t="shared" si="0"/>
        <v>0.09</v>
      </c>
      <c r="Q2" s="1">
        <f t="shared" si="0"/>
        <v>9.9999999999999992E-2</v>
      </c>
    </row>
    <row r="3" spans="2:24">
      <c r="B3" s="1" t="s">
        <v>0</v>
      </c>
      <c r="C3" s="1">
        <v>0.1</v>
      </c>
      <c r="F3" s="1" t="s">
        <v>3</v>
      </c>
      <c r="G3" s="24">
        <v>0.08</v>
      </c>
      <c r="H3" s="1">
        <f>G3+($Q$3-$G$3)/10</f>
        <v>7.5999999999999998E-2</v>
      </c>
      <c r="I3" s="1">
        <f t="shared" ref="I3:P3" si="1">H3+($Q$3-$G$3)/10</f>
        <v>7.1999999999999995E-2</v>
      </c>
      <c r="J3" s="1">
        <f t="shared" si="1"/>
        <v>6.7999999999999991E-2</v>
      </c>
      <c r="K3" s="1">
        <f t="shared" si="1"/>
        <v>6.3999999999999987E-2</v>
      </c>
      <c r="L3" s="1">
        <f t="shared" si="1"/>
        <v>5.9999999999999984E-2</v>
      </c>
      <c r="M3" s="1">
        <f t="shared" si="1"/>
        <v>5.599999999999998E-2</v>
      </c>
      <c r="N3" s="1">
        <f t="shared" si="1"/>
        <v>5.1999999999999977E-2</v>
      </c>
      <c r="O3" s="1">
        <f t="shared" si="1"/>
        <v>4.7999999999999973E-2</v>
      </c>
      <c r="P3" s="1">
        <f t="shared" si="1"/>
        <v>4.399999999999997E-2</v>
      </c>
      <c r="Q3" s="24">
        <v>0.04</v>
      </c>
    </row>
    <row r="4" spans="2:24">
      <c r="B4" s="1" t="s">
        <v>1</v>
      </c>
      <c r="C4" s="1">
        <f>C3/10</f>
        <v>0.01</v>
      </c>
      <c r="F4" s="1" t="s">
        <v>11</v>
      </c>
      <c r="G4" s="6">
        <f>(PI()*(2*G3)^2)/4</f>
        <v>2.0106192982974676E-2</v>
      </c>
      <c r="H4" s="6">
        <f t="shared" ref="H4:Q4" si="2">(PI()*(2*H3)^2)/4</f>
        <v>1.8145839167134643E-2</v>
      </c>
      <c r="I4" s="6">
        <f t="shared" si="2"/>
        <v>1.6286016316209486E-2</v>
      </c>
      <c r="J4" s="6">
        <f t="shared" si="2"/>
        <v>1.4526724430199199E-2</v>
      </c>
      <c r="K4" s="6">
        <f t="shared" si="2"/>
        <v>1.2867963509103787E-2</v>
      </c>
      <c r="L4" s="6">
        <f t="shared" si="2"/>
        <v>1.1309733552923249E-2</v>
      </c>
      <c r="M4" s="6">
        <f t="shared" si="2"/>
        <v>9.8520345616575841E-3</v>
      </c>
      <c r="N4" s="6">
        <f t="shared" si="2"/>
        <v>8.4948665353067939E-3</v>
      </c>
      <c r="O4" s="6">
        <f t="shared" si="2"/>
        <v>7.2382294738708754E-3</v>
      </c>
      <c r="P4" s="6">
        <f t="shared" si="2"/>
        <v>6.0821233773498311E-3</v>
      </c>
      <c r="Q4" s="6">
        <f t="shared" si="2"/>
        <v>5.0265482457436689E-3</v>
      </c>
      <c r="S4" s="7"/>
      <c r="T4" s="7">
        <v>0</v>
      </c>
      <c r="U4" s="6">
        <v>2.5000000000000001E-2</v>
      </c>
      <c r="V4" s="7">
        <v>0.05</v>
      </c>
      <c r="W4" s="6">
        <v>7.4999999999999997E-2</v>
      </c>
      <c r="X4" s="7">
        <v>0.1</v>
      </c>
    </row>
    <row r="5" spans="2:24">
      <c r="F5" s="1" t="s">
        <v>12</v>
      </c>
      <c r="G5" s="1">
        <v>57.345999103135519</v>
      </c>
      <c r="H5" s="1">
        <v>63.541424071804343</v>
      </c>
      <c r="I5" s="1">
        <v>70.80714265616993</v>
      </c>
      <c r="J5" s="1">
        <v>79.397771984047765</v>
      </c>
      <c r="K5" s="1">
        <v>89.653220428711691</v>
      </c>
      <c r="L5" s="1">
        <v>102.02980327193542</v>
      </c>
      <c r="M5" s="1">
        <v>117.15193281912278</v>
      </c>
      <c r="N5" s="1">
        <v>135.89287838336543</v>
      </c>
      <c r="O5" s="1">
        <v>159.50484154612215</v>
      </c>
      <c r="P5" s="1">
        <v>189.83576989662194</v>
      </c>
      <c r="Q5" s="1">
        <v>229.70522138401481</v>
      </c>
      <c r="S5" s="7" t="s">
        <v>22</v>
      </c>
      <c r="T5" s="8">
        <v>62.6</v>
      </c>
      <c r="U5" s="7">
        <v>78.260000000000005</v>
      </c>
      <c r="V5" s="7">
        <v>106.77</v>
      </c>
      <c r="W5" s="7">
        <v>153.75</v>
      </c>
      <c r="X5" s="7">
        <v>238.13</v>
      </c>
    </row>
    <row r="6" spans="2:24">
      <c r="B6" s="19" t="s">
        <v>2</v>
      </c>
      <c r="C6" s="19">
        <v>1.4</v>
      </c>
      <c r="F6" s="1" t="s">
        <v>7</v>
      </c>
      <c r="G6" s="1">
        <v>133051.52605921644</v>
      </c>
      <c r="H6" s="1">
        <v>132585.00887496024</v>
      </c>
      <c r="I6" s="1">
        <v>131975.33222654188</v>
      </c>
      <c r="J6" s="1">
        <v>131167.0237309454</v>
      </c>
      <c r="K6" s="1">
        <v>130077.43846014728</v>
      </c>
      <c r="L6" s="1">
        <v>128580.98395327538</v>
      </c>
      <c r="M6" s="1">
        <v>126481.59628678391</v>
      </c>
      <c r="N6" s="1">
        <v>123463.63627072446</v>
      </c>
      <c r="O6" s="1">
        <v>119000.62894825015</v>
      </c>
      <c r="P6" s="1">
        <v>112177.50418921013</v>
      </c>
      <c r="Q6" s="1">
        <v>101325</v>
      </c>
      <c r="S6" s="7" t="s">
        <v>23</v>
      </c>
      <c r="T6" s="9">
        <v>132552</v>
      </c>
      <c r="U6" s="9">
        <v>131334</v>
      </c>
      <c r="V6" s="9">
        <v>128213</v>
      </c>
      <c r="W6" s="9">
        <v>120941</v>
      </c>
      <c r="X6" s="9">
        <v>101336</v>
      </c>
    </row>
    <row r="7" spans="2:24">
      <c r="B7" s="19" t="s">
        <v>3</v>
      </c>
      <c r="C7" s="19">
        <v>286.97199999999998</v>
      </c>
      <c r="F7" s="1" t="s">
        <v>13</v>
      </c>
      <c r="G7" s="1">
        <v>1.1850000000000001</v>
      </c>
      <c r="H7" s="1">
        <v>1.1850000000000001</v>
      </c>
      <c r="I7" s="1">
        <v>1.1850000000000001</v>
      </c>
      <c r="J7" s="1">
        <v>1.1850000000000001</v>
      </c>
      <c r="K7" s="1">
        <v>1.1850000000000001</v>
      </c>
      <c r="L7" s="1">
        <v>1.1850000000000001</v>
      </c>
      <c r="M7" s="1">
        <v>1.1850000000000001</v>
      </c>
      <c r="N7" s="1">
        <v>1.1850000000000001</v>
      </c>
      <c r="O7" s="1">
        <v>1.1850000000000001</v>
      </c>
      <c r="P7" s="1">
        <v>1.1850000000000001</v>
      </c>
      <c r="Q7" s="1">
        <v>1.1850000000000001</v>
      </c>
      <c r="S7" s="7" t="s">
        <v>24</v>
      </c>
      <c r="T7" s="6">
        <v>1.375</v>
      </c>
      <c r="U7" s="7"/>
      <c r="V7" s="7"/>
      <c r="W7" s="7"/>
      <c r="X7" s="7"/>
    </row>
    <row r="8" spans="2:24">
      <c r="B8" s="19" t="s">
        <v>4</v>
      </c>
      <c r="C8" s="19">
        <v>1004.4</v>
      </c>
    </row>
    <row r="10" spans="2:24">
      <c r="B10" s="21" t="s">
        <v>5</v>
      </c>
      <c r="C10" s="21">
        <v>135000</v>
      </c>
      <c r="F10" s="1" t="s">
        <v>14</v>
      </c>
      <c r="G10" s="6">
        <f>G4*G7*G13</f>
        <v>1.3663197670643263</v>
      </c>
      <c r="H10" s="6">
        <f>H4*H7*H13</f>
        <v>1.3663230263056276</v>
      </c>
      <c r="I10" s="6">
        <f t="shared" ref="I10:Q10" si="3">I4*I7*I13</f>
        <v>1.3665061703250156</v>
      </c>
      <c r="J10" s="6">
        <f t="shared" si="3"/>
        <v>1.3667709625642646</v>
      </c>
      <c r="K10" s="6">
        <f t="shared" si="3"/>
        <v>1.3670844463740892</v>
      </c>
      <c r="L10" s="6">
        <f t="shared" si="3"/>
        <v>1.3674102353600908</v>
      </c>
      <c r="M10" s="6">
        <f t="shared" si="3"/>
        <v>1.3677115104077038</v>
      </c>
      <c r="N10" s="6">
        <f t="shared" si="3"/>
        <v>1.3679558661344997</v>
      </c>
      <c r="O10" s="6">
        <f t="shared" si="3"/>
        <v>1.3681219499556712</v>
      </c>
      <c r="P10" s="6">
        <f t="shared" si="3"/>
        <v>1.3682067248782557</v>
      </c>
      <c r="Q10" s="6">
        <f t="shared" si="3"/>
        <v>1.368230019724868</v>
      </c>
    </row>
    <row r="11" spans="2:24">
      <c r="B11" s="21" t="s">
        <v>6</v>
      </c>
      <c r="C11" s="21">
        <v>288.16000000000003</v>
      </c>
      <c r="F11" s="1" t="s">
        <v>15</v>
      </c>
      <c r="G11" s="4">
        <f>(G13)*(G10-H10)</f>
        <v>-1.8690489239403838E-4</v>
      </c>
      <c r="H11" s="4">
        <f t="shared" ref="H11:P11" si="4">(H13)*(H10-I10)</f>
        <v>-1.1637259561789848E-2</v>
      </c>
      <c r="I11" s="4">
        <f t="shared" si="4"/>
        <v>-1.8749238494648671E-2</v>
      </c>
      <c r="J11" s="4">
        <f t="shared" si="4"/>
        <v>-2.4889995107935745E-2</v>
      </c>
      <c r="K11" s="4">
        <f t="shared" si="4"/>
        <v>-2.9208117645821374E-2</v>
      </c>
      <c r="L11" s="4">
        <f t="shared" si="4"/>
        <v>-3.0739108389509131E-2</v>
      </c>
      <c r="M11" s="4">
        <f t="shared" si="4"/>
        <v>-2.8626796225165601E-2</v>
      </c>
      <c r="N11" s="4">
        <f t="shared" si="4"/>
        <v>-2.2569633361576115E-2</v>
      </c>
      <c r="O11" s="4">
        <f t="shared" si="4"/>
        <v>-1.3522018157579229E-2</v>
      </c>
      <c r="P11" s="4">
        <f t="shared" si="4"/>
        <v>-4.422196126273043E-3</v>
      </c>
      <c r="Q11" s="23">
        <v>0</v>
      </c>
    </row>
    <row r="12" spans="2:24">
      <c r="B12" s="21" t="s">
        <v>7</v>
      </c>
      <c r="C12" s="21">
        <v>101325</v>
      </c>
    </row>
    <row r="13" spans="2:24">
      <c r="F13" s="1" t="s">
        <v>12</v>
      </c>
      <c r="G13" s="21">
        <f>(H4*H5*H7)/(G4*G7)</f>
        <v>57.346135224803419</v>
      </c>
      <c r="H13" s="1">
        <f>((G6-H6)/H7+G5*H5)^0.5</f>
        <v>63.541575644546448</v>
      </c>
      <c r="I13" s="1">
        <f t="shared" ref="I13:Q13" si="5">((H6-I6)/I7+H5*I5)^0.5</f>
        <v>70.807356544252258</v>
      </c>
      <c r="J13" s="1">
        <f t="shared" si="5"/>
        <v>79.398024165451432</v>
      </c>
      <c r="K13" s="1">
        <f t="shared" si="5"/>
        <v>89.653484006000923</v>
      </c>
      <c r="L13" s="1">
        <f t="shared" si="5"/>
        <v>102.03005072293041</v>
      </c>
      <c r="M13" s="1">
        <f t="shared" si="5"/>
        <v>117.1521396307309</v>
      </c>
      <c r="N13" s="1">
        <f t="shared" si="5"/>
        <v>135.89302800468184</v>
      </c>
      <c r="O13" s="1">
        <f t="shared" si="5"/>
        <v>159.50493076650253</v>
      </c>
      <c r="P13" s="1">
        <f t="shared" si="5"/>
        <v>189.83581218044736</v>
      </c>
      <c r="Q13" s="1">
        <f t="shared" si="5"/>
        <v>229.70524359275763</v>
      </c>
    </row>
    <row r="14" spans="2:24">
      <c r="B14" s="20" t="s">
        <v>8</v>
      </c>
      <c r="C14" s="20">
        <v>1500</v>
      </c>
      <c r="D14">
        <v>1500</v>
      </c>
      <c r="F14" s="1" t="s">
        <v>7</v>
      </c>
      <c r="G14" s="22">
        <f>C10-(G7*G13^2)/2</f>
        <v>133051.51680905631</v>
      </c>
      <c r="H14" s="9">
        <f>H6+H11</f>
        <v>132584.99723770068</v>
      </c>
      <c r="I14" s="9">
        <f t="shared" ref="I14:Q14" si="6">I6+I11</f>
        <v>131975.3134773034</v>
      </c>
      <c r="J14" s="9">
        <f t="shared" si="6"/>
        <v>131166.99884095028</v>
      </c>
      <c r="K14" s="9">
        <f t="shared" si="6"/>
        <v>130077.40925202964</v>
      </c>
      <c r="L14" s="9">
        <f t="shared" si="6"/>
        <v>128580.95321416699</v>
      </c>
      <c r="M14" s="9">
        <f t="shared" si="6"/>
        <v>126481.56765998769</v>
      </c>
      <c r="N14" s="9">
        <f t="shared" si="6"/>
        <v>123463.61370109109</v>
      </c>
      <c r="O14" s="9">
        <f t="shared" si="6"/>
        <v>119000.61542623199</v>
      </c>
      <c r="P14" s="9">
        <f t="shared" si="6"/>
        <v>112177.499767014</v>
      </c>
      <c r="Q14" s="22">
        <f t="shared" si="6"/>
        <v>101325</v>
      </c>
    </row>
    <row r="15" spans="2:24">
      <c r="F15" s="1" t="s">
        <v>13</v>
      </c>
      <c r="G15" s="1">
        <v>1.1850000000000001</v>
      </c>
      <c r="H15" s="1">
        <v>1.1850000000000001</v>
      </c>
      <c r="I15" s="1">
        <v>1.1850000000000001</v>
      </c>
      <c r="J15" s="1">
        <v>1.1850000000000001</v>
      </c>
      <c r="K15" s="1">
        <v>1.1850000000000001</v>
      </c>
      <c r="L15" s="1">
        <v>1.1850000000000001</v>
      </c>
      <c r="M15" s="1">
        <v>1.1850000000000001</v>
      </c>
      <c r="N15" s="1">
        <v>1.1850000000000001</v>
      </c>
      <c r="O15" s="1">
        <v>1.1850000000000001</v>
      </c>
      <c r="P15" s="1">
        <v>1.1850000000000001</v>
      </c>
      <c r="Q15" s="1">
        <v>1.1850000000000001</v>
      </c>
    </row>
    <row r="17" spans="6:24">
      <c r="F17" s="1" t="s">
        <v>16</v>
      </c>
      <c r="G17" s="7">
        <f>$C$11-(G13^2)/(2*$C$8)</f>
        <v>286.52291356769149</v>
      </c>
      <c r="H17" s="7">
        <f t="shared" ref="H17:Q17" si="7">$C$11-(H13^2)/(2*$C$8)</f>
        <v>286.15007774024713</v>
      </c>
      <c r="I17" s="7">
        <f t="shared" si="7"/>
        <v>285.66414090960535</v>
      </c>
      <c r="J17" s="7">
        <f t="shared" si="7"/>
        <v>285.02178502520036</v>
      </c>
      <c r="K17" s="7">
        <f t="shared" si="7"/>
        <v>284.1587319820718</v>
      </c>
      <c r="L17" s="7">
        <f t="shared" si="7"/>
        <v>282.97773633486474</v>
      </c>
      <c r="M17" s="7">
        <f t="shared" si="7"/>
        <v>281.32774999001481</v>
      </c>
      <c r="N17" s="7">
        <f t="shared" si="7"/>
        <v>278.96699170635145</v>
      </c>
      <c r="O17" s="7">
        <f t="shared" si="7"/>
        <v>275.49481534307711</v>
      </c>
      <c r="P17" s="7">
        <f t="shared" si="7"/>
        <v>270.2201176890631</v>
      </c>
      <c r="Q17" s="7">
        <f t="shared" si="7"/>
        <v>261.89332390780163</v>
      </c>
    </row>
    <row r="18" spans="6:24">
      <c r="F18" s="1" t="s">
        <v>17</v>
      </c>
      <c r="G18" s="8">
        <f>SQRT($C$6*$C$7*G17)</f>
        <v>339.2840623626264</v>
      </c>
      <c r="H18" s="8">
        <f t="shared" ref="H18:Q18" si="8">SQRT($C$6*$C$7*H17)</f>
        <v>339.06324506348938</v>
      </c>
      <c r="I18" s="8">
        <f t="shared" si="8"/>
        <v>338.7752260469407</v>
      </c>
      <c r="J18" s="8">
        <f t="shared" si="8"/>
        <v>338.39411987969368</v>
      </c>
      <c r="K18" s="8">
        <f t="shared" si="8"/>
        <v>337.88139855295782</v>
      </c>
      <c r="L18" s="8">
        <f t="shared" si="8"/>
        <v>337.17853094775222</v>
      </c>
      <c r="M18" s="8">
        <f t="shared" si="8"/>
        <v>336.19408367517167</v>
      </c>
      <c r="N18" s="8">
        <f t="shared" si="8"/>
        <v>334.78052775144664</v>
      </c>
      <c r="O18" s="8">
        <f t="shared" si="8"/>
        <v>332.69057306765836</v>
      </c>
      <c r="P18" s="8">
        <f t="shared" si="8"/>
        <v>329.49028917230947</v>
      </c>
      <c r="Q18" s="8">
        <f t="shared" si="8"/>
        <v>324.3739683264634</v>
      </c>
    </row>
    <row r="19" spans="6:24">
      <c r="F19" s="1" t="s">
        <v>18</v>
      </c>
      <c r="G19" s="5">
        <f>G13/G18</f>
        <v>0.1690210109648827</v>
      </c>
      <c r="H19" s="5">
        <f t="shared" ref="H19:Q19" si="9">H13/H18</f>
        <v>0.18740331359905532</v>
      </c>
      <c r="I19" s="5">
        <f t="shared" si="9"/>
        <v>0.20900984222040248</v>
      </c>
      <c r="J19" s="5">
        <f t="shared" si="9"/>
        <v>0.23463180800446273</v>
      </c>
      <c r="K19" s="5">
        <f t="shared" si="9"/>
        <v>0.26534009978045325</v>
      </c>
      <c r="L19" s="5">
        <f t="shared" si="9"/>
        <v>0.30259948768428724</v>
      </c>
      <c r="M19" s="5">
        <f t="shared" si="9"/>
        <v>0.34846579794046129</v>
      </c>
      <c r="N19" s="5">
        <f t="shared" si="9"/>
        <v>0.40591676259490761</v>
      </c>
      <c r="O19" s="5">
        <f t="shared" si="9"/>
        <v>0.47943928586778578</v>
      </c>
      <c r="P19" s="5">
        <f t="shared" si="9"/>
        <v>0.57614994559421229</v>
      </c>
      <c r="Q19" s="5">
        <f t="shared" si="9"/>
        <v>0.70814943867990277</v>
      </c>
    </row>
    <row r="20" spans="6:24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>
      <c r="S24" s="3"/>
      <c r="T24" s="3"/>
      <c r="U24" s="3"/>
      <c r="V24" s="3"/>
      <c r="W24" s="3"/>
      <c r="X24" s="3"/>
    </row>
  </sheetData>
  <pageMargins left="0.7" right="0.7" top="0.75" bottom="0.75" header="0.3" footer="0.3"/>
  <pageSetup paperSize="9"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B1:X24"/>
  <sheetViews>
    <sheetView zoomScale="70" zoomScaleNormal="70" workbookViewId="0">
      <selection activeCell="AB29" sqref="AB29"/>
    </sheetView>
  </sheetViews>
  <sheetFormatPr defaultRowHeight="15"/>
  <cols>
    <col min="7" max="7" width="9.7109375" bestFit="1" customWidth="1"/>
    <col min="8" max="17" width="9.5703125" bestFit="1" customWidth="1"/>
  </cols>
  <sheetData>
    <row r="1" spans="2:24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24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24">
      <c r="B3" s="1" t="s">
        <v>0</v>
      </c>
      <c r="C3" s="1">
        <v>0.1</v>
      </c>
      <c r="F3" s="1" t="s">
        <v>3</v>
      </c>
      <c r="G3" s="24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24">
        <v>0.04</v>
      </c>
      <c r="S3" s="11"/>
      <c r="T3" s="11">
        <v>0</v>
      </c>
      <c r="U3" s="11">
        <v>2.5000000000000001E-2</v>
      </c>
      <c r="V3" s="11">
        <v>0.05</v>
      </c>
      <c r="W3" s="11">
        <v>7.4999999999999997E-2</v>
      </c>
      <c r="X3" s="11">
        <v>0.1</v>
      </c>
    </row>
    <row r="4" spans="2:24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  <c r="S4" s="11" t="s">
        <v>22</v>
      </c>
      <c r="T4" s="11">
        <v>46.31</v>
      </c>
      <c r="U4" s="11">
        <v>58.19</v>
      </c>
      <c r="V4" s="11">
        <v>80.48</v>
      </c>
      <c r="W4" s="11">
        <v>120.03</v>
      </c>
      <c r="X4" s="11">
        <v>213.26</v>
      </c>
    </row>
    <row r="5" spans="2:24">
      <c r="F5" s="1" t="s">
        <v>12</v>
      </c>
      <c r="G5" s="11">
        <v>41.952458170366562</v>
      </c>
      <c r="H5" s="11">
        <v>46.572722315258261</v>
      </c>
      <c r="I5" s="11">
        <v>51.998998595347025</v>
      </c>
      <c r="J5" s="11">
        <v>58.481574269464545</v>
      </c>
      <c r="K5" s="11">
        <v>66.327200919066215</v>
      </c>
      <c r="L5" s="11">
        <v>75.973877099938278</v>
      </c>
      <c r="M5" s="11">
        <v>88.075946290190913</v>
      </c>
      <c r="N5" s="11">
        <v>103.67585204999334</v>
      </c>
      <c r="O5" s="11">
        <v>124.60693830892183</v>
      </c>
      <c r="P5" s="11">
        <v>154.70189233611086</v>
      </c>
      <c r="Q5" s="11">
        <v>205.86732315098098</v>
      </c>
      <c r="S5" s="11" t="s">
        <v>23</v>
      </c>
      <c r="T5" s="11">
        <v>133165</v>
      </c>
      <c r="U5" s="11">
        <v>132230</v>
      </c>
      <c r="V5" s="11">
        <v>129765</v>
      </c>
      <c r="W5" s="11">
        <v>123565</v>
      </c>
      <c r="X5" s="11">
        <v>101336</v>
      </c>
    </row>
    <row r="6" spans="2:24">
      <c r="B6" s="1" t="s">
        <v>2</v>
      </c>
      <c r="C6" s="1">
        <v>1.4</v>
      </c>
      <c r="F6" s="1" t="s">
        <v>7</v>
      </c>
      <c r="G6" s="11">
        <v>133574.20645422692</v>
      </c>
      <c r="H6" s="11">
        <v>133226.28716879166</v>
      </c>
      <c r="I6" s="11">
        <v>132771.1614403399</v>
      </c>
      <c r="J6" s="11">
        <v>132161.66801093385</v>
      </c>
      <c r="K6" s="11">
        <v>131328.88571868328</v>
      </c>
      <c r="L6" s="11">
        <v>130163.60851596277</v>
      </c>
      <c r="M6" s="11">
        <v>128484.90473201471</v>
      </c>
      <c r="N6" s="11">
        <v>125974.38540805619</v>
      </c>
      <c r="O6" s="11">
        <v>122019.7344116298</v>
      </c>
      <c r="P6" s="11">
        <v>115251.08218729163</v>
      </c>
      <c r="Q6" s="11">
        <v>101325</v>
      </c>
      <c r="S6" s="11" t="s">
        <v>24</v>
      </c>
      <c r="T6" s="11">
        <v>1.387</v>
      </c>
      <c r="U6" s="11"/>
      <c r="V6" s="11"/>
      <c r="W6" s="11"/>
      <c r="X6" s="11"/>
    </row>
    <row r="7" spans="2:24">
      <c r="B7" s="1" t="s">
        <v>3</v>
      </c>
      <c r="C7" s="1">
        <v>286.97199999999998</v>
      </c>
      <c r="F7" s="1" t="s">
        <v>13</v>
      </c>
      <c r="G7" s="11">
        <v>1.6202120766536134</v>
      </c>
      <c r="H7" s="11">
        <v>1.617138055023114</v>
      </c>
      <c r="I7" s="11">
        <v>1.6131097716441272</v>
      </c>
      <c r="J7" s="11">
        <v>1.6077031930153689</v>
      </c>
      <c r="K7" s="11">
        <v>1.6002958497504662</v>
      </c>
      <c r="L7" s="11">
        <v>1.5898957190694107</v>
      </c>
      <c r="M7" s="11">
        <v>1.5748467970151123</v>
      </c>
      <c r="N7" s="11">
        <v>1.5522053888257903</v>
      </c>
      <c r="O7" s="11">
        <v>1.5162304142338905</v>
      </c>
      <c r="P7" s="11">
        <v>1.4538157117758432</v>
      </c>
      <c r="Q7" s="11">
        <v>1.3221013290732198</v>
      </c>
    </row>
    <row r="8" spans="2:24">
      <c r="B8" s="1" t="s">
        <v>4</v>
      </c>
      <c r="C8" s="1">
        <v>1004.4</v>
      </c>
    </row>
    <row r="10" spans="2:24">
      <c r="B10" s="1" t="s">
        <v>5</v>
      </c>
      <c r="C10" s="1">
        <v>135000</v>
      </c>
      <c r="F10" s="1" t="s">
        <v>14</v>
      </c>
      <c r="G10" s="10">
        <f t="shared" ref="G10:Q10" si="3">G4*G7*G13</f>
        <v>1.366645195577177</v>
      </c>
      <c r="H10" s="10">
        <f t="shared" si="3"/>
        <v>1.3666347344859844</v>
      </c>
      <c r="I10" s="10">
        <f t="shared" si="3"/>
        <v>1.3660677312876293</v>
      </c>
      <c r="J10" s="10">
        <f t="shared" si="3"/>
        <v>1.3658167470418781</v>
      </c>
      <c r="K10" s="10">
        <f t="shared" si="3"/>
        <v>1.3658483209918184</v>
      </c>
      <c r="L10" s="10">
        <f t="shared" si="3"/>
        <v>1.3661125638138347</v>
      </c>
      <c r="M10" s="10">
        <f t="shared" si="3"/>
        <v>1.3665415729811596</v>
      </c>
      <c r="N10" s="10">
        <f t="shared" si="3"/>
        <v>1.3670502324775375</v>
      </c>
      <c r="O10" s="10">
        <f t="shared" si="3"/>
        <v>1.3675415476349411</v>
      </c>
      <c r="P10" s="10">
        <f t="shared" si="3"/>
        <v>1.3679195404148627</v>
      </c>
      <c r="Q10" s="10">
        <f t="shared" si="3"/>
        <v>1.3681132042596771</v>
      </c>
    </row>
    <row r="11" spans="2:24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2.6406680375334817E-2</v>
      </c>
      <c r="I11" s="12">
        <f t="shared" ref="I11:P11" si="4">(I13)*(I10-J10)</f>
        <v>1.3050883318935809E-2</v>
      </c>
      <c r="J11" s="12">
        <f t="shared" si="4"/>
        <v>-1.8464934745265399E-3</v>
      </c>
      <c r="K11" s="12">
        <f t="shared" si="4"/>
        <v>-1.7526515140232776E-2</v>
      </c>
      <c r="L11" s="12">
        <f t="shared" si="4"/>
        <v>-3.2593578471585345E-2</v>
      </c>
      <c r="M11" s="12">
        <f t="shared" si="4"/>
        <v>-4.4800799783623488E-2</v>
      </c>
      <c r="N11" s="12">
        <f t="shared" si="4"/>
        <v>-5.0937648111299527E-2</v>
      </c>
      <c r="O11" s="12">
        <f t="shared" si="4"/>
        <v>-4.7100604677384694E-2</v>
      </c>
      <c r="P11" s="12">
        <f t="shared" si="4"/>
        <v>-2.9960186970414304E-2</v>
      </c>
      <c r="Q11" s="21">
        <v>0</v>
      </c>
    </row>
    <row r="12" spans="2:24">
      <c r="B12" s="1" t="s">
        <v>7</v>
      </c>
      <c r="C12" s="1">
        <v>101325</v>
      </c>
      <c r="Q12" s="16"/>
    </row>
    <row r="13" spans="2:24">
      <c r="F13" s="1" t="s">
        <v>12</v>
      </c>
      <c r="G13" s="21">
        <f>(H4*H5*H7)/(G4*G7)</f>
        <v>41.952134974927866</v>
      </c>
      <c r="H13" s="13">
        <f t="shared" ref="H13:Q13" si="5">((G6-H6)/H7+G5*H5)^0.5</f>
        <v>46.572365820758591</v>
      </c>
      <c r="I13" s="13">
        <f t="shared" si="5"/>
        <v>51.99881482550407</v>
      </c>
      <c r="J13" s="13">
        <f t="shared" si="5"/>
        <v>58.481548175462336</v>
      </c>
      <c r="K13" s="13">
        <f t="shared" si="5"/>
        <v>66.327308369234387</v>
      </c>
      <c r="L13" s="13">
        <f t="shared" si="5"/>
        <v>75.974083898539305</v>
      </c>
      <c r="M13" s="13">
        <f t="shared" si="5"/>
        <v>88.076208352825077</v>
      </c>
      <c r="N13" s="13">
        <f t="shared" si="5"/>
        <v>103.67611774994239</v>
      </c>
      <c r="O13" s="13">
        <f t="shared" si="5"/>
        <v>124.60715436719285</v>
      </c>
      <c r="P13" s="13">
        <f t="shared" si="5"/>
        <v>154.70201471594376</v>
      </c>
      <c r="Q13" s="13">
        <f t="shared" si="5"/>
        <v>205.86733253631789</v>
      </c>
    </row>
    <row r="14" spans="2:24">
      <c r="B14" s="1" t="s">
        <v>8</v>
      </c>
      <c r="C14" s="1">
        <v>1500</v>
      </c>
      <c r="D14">
        <v>1500</v>
      </c>
      <c r="F14" s="1" t="s">
        <v>7</v>
      </c>
      <c r="G14" s="22">
        <f>C10-(G7*G13^2)/2</f>
        <v>133574.22825503966</v>
      </c>
      <c r="H14" s="14">
        <f>H6+H11</f>
        <v>133226.31357547204</v>
      </c>
      <c r="I14" s="14">
        <f t="shared" ref="I14:Q14" si="6">I6+I11</f>
        <v>132771.17449122321</v>
      </c>
      <c r="J14" s="14">
        <f t="shared" si="6"/>
        <v>132161.66616444036</v>
      </c>
      <c r="K14" s="14">
        <f t="shared" si="6"/>
        <v>131328.86819216813</v>
      </c>
      <c r="L14" s="14">
        <f t="shared" si="6"/>
        <v>130163.57592238429</v>
      </c>
      <c r="M14" s="14">
        <f t="shared" si="6"/>
        <v>128484.85993121493</v>
      </c>
      <c r="N14" s="14">
        <f t="shared" si="6"/>
        <v>125974.33447040808</v>
      </c>
      <c r="O14" s="14">
        <f t="shared" si="6"/>
        <v>122019.68731102513</v>
      </c>
      <c r="P14" s="14">
        <f t="shared" si="6"/>
        <v>115251.05222710465</v>
      </c>
      <c r="Q14" s="22">
        <f t="shared" si="6"/>
        <v>101325</v>
      </c>
    </row>
    <row r="15" spans="2:24">
      <c r="F15" s="1" t="s">
        <v>13</v>
      </c>
      <c r="G15" s="10">
        <f>G14/($C$7*G17)</f>
        <v>1.6202122649570925</v>
      </c>
      <c r="H15" s="10">
        <f t="shared" ref="H15:Q15" si="7">H14/($C$7*H17)</f>
        <v>1.6171382824397458</v>
      </c>
      <c r="I15" s="10">
        <f t="shared" si="7"/>
        <v>1.613109876697655</v>
      </c>
      <c r="J15" s="10">
        <f t="shared" si="7"/>
        <v>1.6077031620263356</v>
      </c>
      <c r="K15" s="10">
        <f t="shared" si="7"/>
        <v>1.6002956758902236</v>
      </c>
      <c r="L15" s="10">
        <f t="shared" si="7"/>
        <v>1.5898954081272527</v>
      </c>
      <c r="M15" s="10">
        <f t="shared" si="7"/>
        <v>1.5748463751867776</v>
      </c>
      <c r="N15" s="10">
        <f t="shared" si="7"/>
        <v>1.5522049117211103</v>
      </c>
      <c r="O15" s="10">
        <f t="shared" si="7"/>
        <v>1.5162299738827569</v>
      </c>
      <c r="P15" s="10">
        <f t="shared" si="7"/>
        <v>1.453815433048117</v>
      </c>
      <c r="Q15" s="10">
        <f t="shared" si="7"/>
        <v>1.3221013385964215</v>
      </c>
    </row>
    <row r="17" spans="6:24">
      <c r="F17" s="1" t="s">
        <v>16</v>
      </c>
      <c r="G17" s="13">
        <f>$C$11-(G13^2)/(2*$C$8)</f>
        <v>287.28386418311703</v>
      </c>
      <c r="H17" s="13">
        <f t="shared" ref="H17:Q17" si="8">$C$11-(H13^2)/(2*$C$8)</f>
        <v>287.08025823469609</v>
      </c>
      <c r="I17" s="13">
        <f t="shared" si="8"/>
        <v>286.81398409833878</v>
      </c>
      <c r="J17" s="13">
        <f t="shared" si="8"/>
        <v>286.45744550129484</v>
      </c>
      <c r="K17" s="13">
        <f t="shared" si="8"/>
        <v>285.96998016950045</v>
      </c>
      <c r="L17" s="13">
        <f t="shared" si="8"/>
        <v>285.28661219423424</v>
      </c>
      <c r="M17" s="13">
        <f t="shared" si="8"/>
        <v>284.29828231889178</v>
      </c>
      <c r="N17" s="13">
        <f t="shared" si="8"/>
        <v>282.80917493443854</v>
      </c>
      <c r="O17" s="13">
        <f t="shared" si="8"/>
        <v>280.43053817229719</v>
      </c>
      <c r="P17" s="13">
        <f t="shared" si="8"/>
        <v>276.24606463701116</v>
      </c>
      <c r="Q17" s="13">
        <f t="shared" si="8"/>
        <v>267.06215123177077</v>
      </c>
    </row>
    <row r="18" spans="6:24">
      <c r="F18" s="1" t="s">
        <v>17</v>
      </c>
      <c r="G18" s="15">
        <f>SQRT($C$6*$C$7*G17)</f>
        <v>339.7343007429489</v>
      </c>
      <c r="H18" s="15">
        <f t="shared" ref="H18:Q18" si="9">SQRT($C$6*$C$7*H17)</f>
        <v>339.61388989936506</v>
      </c>
      <c r="I18" s="15">
        <f t="shared" si="9"/>
        <v>339.45635316272381</v>
      </c>
      <c r="J18" s="15">
        <f t="shared" si="9"/>
        <v>339.24529837649425</v>
      </c>
      <c r="K18" s="15">
        <f t="shared" si="9"/>
        <v>338.95652819924067</v>
      </c>
      <c r="L18" s="15">
        <f t="shared" si="9"/>
        <v>338.55129233905649</v>
      </c>
      <c r="M18" s="15">
        <f t="shared" si="9"/>
        <v>337.96435513684548</v>
      </c>
      <c r="N18" s="15">
        <f t="shared" si="9"/>
        <v>337.07809238958259</v>
      </c>
      <c r="O18" s="15">
        <f t="shared" si="9"/>
        <v>335.65755966540161</v>
      </c>
      <c r="P18" s="15">
        <f t="shared" si="9"/>
        <v>333.14387271180198</v>
      </c>
      <c r="Q18" s="15">
        <f t="shared" si="9"/>
        <v>327.55931299323061</v>
      </c>
    </row>
    <row r="19" spans="6:24">
      <c r="F19" s="1" t="s">
        <v>18</v>
      </c>
      <c r="G19" s="12">
        <f>G13/G18</f>
        <v>0.12348513200811552</v>
      </c>
      <c r="H19" s="12">
        <f t="shared" ref="H19:Q19" si="10">H13/H18</f>
        <v>0.13713327754220828</v>
      </c>
      <c r="I19" s="12">
        <f t="shared" si="10"/>
        <v>0.15318262374832503</v>
      </c>
      <c r="J19" s="12">
        <f t="shared" si="10"/>
        <v>0.17238720316931128</v>
      </c>
      <c r="K19" s="12">
        <f t="shared" si="10"/>
        <v>0.19568087011513996</v>
      </c>
      <c r="L19" s="12">
        <f t="shared" si="10"/>
        <v>0.22440937493882568</v>
      </c>
      <c r="M19" s="12">
        <f t="shared" si="10"/>
        <v>0.260607981327386</v>
      </c>
      <c r="N19" s="12">
        <f t="shared" si="10"/>
        <v>0.3075729929968789</v>
      </c>
      <c r="O19" s="12">
        <f t="shared" si="10"/>
        <v>0.37123297473593864</v>
      </c>
      <c r="P19" s="12">
        <f t="shared" si="10"/>
        <v>0.46436998362498555</v>
      </c>
      <c r="Q19" s="12">
        <f t="shared" si="10"/>
        <v>0.62848871752448809</v>
      </c>
    </row>
    <row r="20" spans="6:24">
      <c r="F20" s="11" t="s">
        <v>19</v>
      </c>
      <c r="G20" s="11">
        <f>1-((($C$6-1)/($C$6+1))*G21^2)</f>
        <v>0.99704053956027028</v>
      </c>
      <c r="H20" s="11">
        <f t="shared" ref="H20:Q20" si="11">1-((($C$6-1)/($C$6+1))*H21^2)</f>
        <v>0.99637522452798677</v>
      </c>
      <c r="I20" s="11">
        <f t="shared" si="11"/>
        <v>0.99551738512144528</v>
      </c>
      <c r="J20" s="11">
        <f t="shared" si="11"/>
        <v>0.99438996137486713</v>
      </c>
      <c r="K20" s="11">
        <f t="shared" si="11"/>
        <v>0.99288656085264948</v>
      </c>
      <c r="L20" s="11">
        <f t="shared" si="11"/>
        <v>0.99084969708373349</v>
      </c>
      <c r="M20" s="11">
        <f t="shared" si="11"/>
        <v>0.98804110858762784</v>
      </c>
      <c r="N20" s="11">
        <f t="shared" si="11"/>
        <v>0.98408998256156943</v>
      </c>
      <c r="O20" s="11">
        <f t="shared" si="11"/>
        <v>0.97839276991627533</v>
      </c>
      <c r="P20" s="11">
        <f t="shared" si="11"/>
        <v>0.96986758176308718</v>
      </c>
      <c r="Q20" s="11">
        <f t="shared" si="11"/>
        <v>0.95586604237998785</v>
      </c>
    </row>
    <row r="21" spans="6:24">
      <c r="F21" s="11" t="s">
        <v>20</v>
      </c>
      <c r="G21" s="11">
        <f>SQRT(((($C$6+1)/2)*G19^2)/(1+2*G19^2))</f>
        <v>0.13325450325740634</v>
      </c>
      <c r="H21" s="11">
        <f>SQRT(((($C$6+1)/2)*H19^2)/(1+2*H19^2))</f>
        <v>0.14747424463979894</v>
      </c>
      <c r="I21" s="11">
        <f t="shared" ref="I21:Q21" si="12">SQRT(((($C$6+1)/2)*I19^2)/(1+2*I19^2))</f>
        <v>0.1639990526537525</v>
      </c>
      <c r="J21" s="11">
        <f t="shared" si="12"/>
        <v>0.18346724980442006</v>
      </c>
      <c r="K21" s="11">
        <f t="shared" si="12"/>
        <v>0.20659292070180635</v>
      </c>
      <c r="L21" s="11">
        <f t="shared" si="12"/>
        <v>0.23431136869046568</v>
      </c>
      <c r="M21" s="11">
        <f t="shared" si="12"/>
        <v>0.2678681550207731</v>
      </c>
      <c r="N21" s="11">
        <f t="shared" si="12"/>
        <v>0.30896618687258187</v>
      </c>
      <c r="O21" s="11">
        <f t="shared" si="12"/>
        <v>0.36006024565667927</v>
      </c>
      <c r="P21" s="11">
        <f t="shared" si="12"/>
        <v>0.42519937608312292</v>
      </c>
      <c r="Q21" s="11">
        <f t="shared" si="12"/>
        <v>0.51459085273649507</v>
      </c>
      <c r="S21" s="3"/>
      <c r="T21" s="3"/>
      <c r="U21" s="3"/>
      <c r="V21" s="3"/>
      <c r="W21" s="3"/>
      <c r="X21" s="3"/>
    </row>
    <row r="22" spans="6:24">
      <c r="F22" s="11" t="s">
        <v>21</v>
      </c>
      <c r="G22" s="11">
        <f>(1-((($C$6-1)/($C$6+1))*G21^2))^($C$6/($C$6-1))</f>
        <v>0.98968014980824814</v>
      </c>
      <c r="H22" s="11">
        <f t="shared" ref="H22:Q22" si="13">(1-((($C$6-1)/($C$6+1))*H21^2))^($C$6/($C$6-1))</f>
        <v>0.98737066482633495</v>
      </c>
      <c r="I22" s="11">
        <f t="shared" si="13"/>
        <v>0.98439856153413363</v>
      </c>
      <c r="J22" s="11">
        <f t="shared" si="13"/>
        <v>0.98050217118689553</v>
      </c>
      <c r="K22" s="11">
        <f t="shared" si="13"/>
        <v>0.97532355574748653</v>
      </c>
      <c r="L22" s="11">
        <f t="shared" si="13"/>
        <v>0.96833857597726203</v>
      </c>
      <c r="M22" s="11">
        <f t="shared" si="13"/>
        <v>0.95876583536247673</v>
      </c>
      <c r="N22" s="11">
        <f t="shared" si="13"/>
        <v>0.94541358470102099</v>
      </c>
      <c r="O22" s="11">
        <f t="shared" si="13"/>
        <v>0.92639525404761391</v>
      </c>
      <c r="P22" s="11">
        <f t="shared" si="13"/>
        <v>0.89844925072464876</v>
      </c>
      <c r="Q22" s="11">
        <f t="shared" si="13"/>
        <v>0.85386579544090735</v>
      </c>
      <c r="S22" s="3"/>
      <c r="T22" s="3"/>
      <c r="U22" s="3"/>
      <c r="V22" s="3"/>
      <c r="W22" s="3"/>
      <c r="X22" s="3"/>
    </row>
    <row r="23" spans="6:24">
      <c r="F23" s="11" t="s">
        <v>5</v>
      </c>
      <c r="G23" s="11">
        <f>G14/G22</f>
        <v>134967.06817947177</v>
      </c>
      <c r="H23" s="11">
        <f t="shared" ref="H23:Q23" si="14">H14/H22</f>
        <v>134930.39475596001</v>
      </c>
      <c r="I23" s="11">
        <f t="shared" si="14"/>
        <v>134875.42513705656</v>
      </c>
      <c r="J23" s="11">
        <f t="shared" si="14"/>
        <v>134789.77410571053</v>
      </c>
      <c r="K23" s="11">
        <f t="shared" si="14"/>
        <v>134651.5906626677</v>
      </c>
      <c r="L23" s="11">
        <f t="shared" si="14"/>
        <v>134419.48833962463</v>
      </c>
      <c r="M23" s="11">
        <f t="shared" si="14"/>
        <v>134010.67830357052</v>
      </c>
      <c r="N23" s="11">
        <f t="shared" si="14"/>
        <v>133247.85734938047</v>
      </c>
      <c r="O23" s="11">
        <f t="shared" si="14"/>
        <v>131714.4995917193</v>
      </c>
      <c r="P23" s="11">
        <f t="shared" si="14"/>
        <v>128277.7542906829</v>
      </c>
      <c r="Q23" s="11">
        <f t="shared" si="14"/>
        <v>118666.18916111893</v>
      </c>
      <c r="S23" s="3"/>
      <c r="T23" s="3"/>
      <c r="U23" s="3"/>
      <c r="V23" s="3"/>
      <c r="W23" s="3"/>
      <c r="X23" s="3"/>
    </row>
    <row r="24" spans="6:24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4"/>
  <dimension ref="B1:X24"/>
  <sheetViews>
    <sheetView zoomScale="70" zoomScaleNormal="70" workbookViewId="0">
      <selection activeCell="S13" sqref="S13"/>
    </sheetView>
  </sheetViews>
  <sheetFormatPr defaultRowHeight="15"/>
  <cols>
    <col min="7" max="7" width="9.7109375" bestFit="1" customWidth="1"/>
    <col min="8" max="17" width="9.5703125" bestFit="1" customWidth="1"/>
  </cols>
  <sheetData>
    <row r="1" spans="2:17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1" t="s">
        <v>0</v>
      </c>
      <c r="C3" s="1">
        <v>0.1</v>
      </c>
      <c r="F3" s="1" t="s">
        <v>3</v>
      </c>
      <c r="G3" s="24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24">
        <v>0.04</v>
      </c>
    </row>
    <row r="4" spans="2:17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1" t="s">
        <v>12</v>
      </c>
      <c r="G5" s="11">
        <v>18.971455776311203</v>
      </c>
      <c r="H5" s="11">
        <v>21.02100357299863</v>
      </c>
      <c r="I5" s="11">
        <v>23.421546758241181</v>
      </c>
      <c r="J5" s="11">
        <v>26.258062964201336</v>
      </c>
      <c r="K5" s="11">
        <v>29.64288847989371</v>
      </c>
      <c r="L5" s="11">
        <v>33.727017423980747</v>
      </c>
      <c r="M5" s="11">
        <v>38.717237739351916</v>
      </c>
      <c r="N5" s="11">
        <v>44.902831075546345</v>
      </c>
      <c r="O5" s="11">
        <v>52.69846135557016</v>
      </c>
      <c r="P5" s="11">
        <v>62.715524642010273</v>
      </c>
      <c r="Q5" s="11">
        <v>75.88578525174664</v>
      </c>
    </row>
    <row r="6" spans="2:17">
      <c r="B6" s="1" t="s">
        <v>2</v>
      </c>
      <c r="C6" s="1">
        <v>1.4</v>
      </c>
      <c r="F6" s="1" t="s">
        <v>7</v>
      </c>
      <c r="G6" s="11">
        <v>104786.74969044352</v>
      </c>
      <c r="H6" s="11">
        <v>104735.69568468926</v>
      </c>
      <c r="I6" s="11">
        <v>104669.06973257133</v>
      </c>
      <c r="J6" s="11">
        <v>104580.80925100141</v>
      </c>
      <c r="K6" s="11">
        <v>104461.9110868548</v>
      </c>
      <c r="L6" s="11">
        <v>104298.68268516126</v>
      </c>
      <c r="M6" s="11">
        <v>104069.73174391234</v>
      </c>
      <c r="N6" s="11">
        <v>103740.59722115673</v>
      </c>
      <c r="O6" s="11">
        <v>103253.77822206651</v>
      </c>
      <c r="P6" s="11">
        <v>102509.33114784503</v>
      </c>
      <c r="Q6" s="11">
        <v>101325</v>
      </c>
    </row>
    <row r="7" spans="2:17">
      <c r="B7" s="1" t="s">
        <v>3</v>
      </c>
      <c r="C7" s="1">
        <v>286.97199999999998</v>
      </c>
      <c r="F7" s="1" t="s">
        <v>13</v>
      </c>
      <c r="G7" s="11">
        <v>1.1850000000000001</v>
      </c>
      <c r="H7" s="11">
        <v>1.1850000000000001</v>
      </c>
      <c r="I7" s="11">
        <v>1.1850000000000001</v>
      </c>
      <c r="J7" s="11">
        <v>1.1850000000000001</v>
      </c>
      <c r="K7" s="11">
        <v>1.1850000000000001</v>
      </c>
      <c r="L7" s="11">
        <v>1.1850000000000001</v>
      </c>
      <c r="M7" s="11">
        <v>1.1850000000000001</v>
      </c>
      <c r="N7" s="11">
        <v>1.1850000000000001</v>
      </c>
      <c r="O7" s="11">
        <v>1.1850000000000001</v>
      </c>
      <c r="P7" s="11">
        <v>1.1850000000000001</v>
      </c>
      <c r="Q7" s="11">
        <v>1.1850000000000001</v>
      </c>
    </row>
    <row r="8" spans="2:17">
      <c r="B8" s="1" t="s">
        <v>4</v>
      </c>
      <c r="C8" s="1">
        <v>1004.4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2:17">
      <c r="B10" s="1" t="s">
        <v>5</v>
      </c>
      <c r="C10" s="1">
        <v>105000</v>
      </c>
      <c r="F10" s="1" t="s">
        <v>14</v>
      </c>
      <c r="G10" s="10">
        <f>G4*G7*G13</f>
        <v>0.45201084371136407</v>
      </c>
      <c r="H10" s="10">
        <f>H4*H7*H13</f>
        <v>0.45201084248514894</v>
      </c>
      <c r="I10" s="10">
        <f t="shared" ref="I10:Q10" si="3">I4*I7*I13</f>
        <v>0.45201077485286445</v>
      </c>
      <c r="J10" s="10">
        <f t="shared" si="3"/>
        <v>0.45201071834618689</v>
      </c>
      <c r="K10" s="10">
        <f t="shared" si="3"/>
        <v>0.45201067414804225</v>
      </c>
      <c r="L10" s="10">
        <f t="shared" si="3"/>
        <v>0.4520106427333081</v>
      </c>
      <c r="M10" s="10">
        <f t="shared" si="3"/>
        <v>0.45201062359753369</v>
      </c>
      <c r="N10" s="10">
        <f t="shared" si="3"/>
        <v>0.45201061503429235</v>
      </c>
      <c r="O10" s="10">
        <f t="shared" si="3"/>
        <v>0.45201061408601589</v>
      </c>
      <c r="P10" s="10">
        <f t="shared" si="3"/>
        <v>0.45201061686254995</v>
      </c>
      <c r="Q10" s="10">
        <f t="shared" si="3"/>
        <v>0.4520106194487214</v>
      </c>
    </row>
    <row r="11" spans="2:17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1.4216984901631499E-6</v>
      </c>
      <c r="I11" s="12">
        <f t="shared" ref="I11:P11" si="4">(I13)*(I10-J10)</f>
        <v>1.3234737878439652E-6</v>
      </c>
      <c r="J11" s="12">
        <f t="shared" si="4"/>
        <v>1.1605576632098742E-6</v>
      </c>
      <c r="K11" s="12">
        <f t="shared" si="4"/>
        <v>9.3122346000919597E-7</v>
      </c>
      <c r="L11" s="12">
        <f t="shared" si="4"/>
        <v>6.4539259653351337E-7</v>
      </c>
      <c r="M11" s="12">
        <f t="shared" si="4"/>
        <v>3.3154505060561301E-7</v>
      </c>
      <c r="N11" s="12">
        <f t="shared" si="4"/>
        <v>4.2580297571704947E-8</v>
      </c>
      <c r="O11" s="12">
        <f t="shared" si="4"/>
        <v>-1.4631907276177267E-7</v>
      </c>
      <c r="P11" s="12">
        <f t="shared" si="4"/>
        <v>-1.6219309889754392E-7</v>
      </c>
      <c r="Q11" s="21">
        <v>0</v>
      </c>
    </row>
    <row r="12" spans="2:17">
      <c r="B12" s="1" t="s">
        <v>7</v>
      </c>
      <c r="C12" s="1">
        <v>101325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2:17">
      <c r="F13" s="1" t="s">
        <v>12</v>
      </c>
      <c r="G13" s="21">
        <f>(H4*H5*H7)/(G4*G7)</f>
        <v>18.971455724631262</v>
      </c>
      <c r="H13" s="13">
        <f t="shared" ref="H13:Q13" si="5">((G6-H6)/H7+G5*H5)^0.5</f>
        <v>21.021003515972847</v>
      </c>
      <c r="I13" s="13">
        <f t="shared" si="5"/>
        <v>23.421546709326705</v>
      </c>
      <c r="J13" s="13">
        <f t="shared" si="5"/>
        <v>26.258062924428092</v>
      </c>
      <c r="K13" s="13">
        <f t="shared" si="5"/>
        <v>29.642888449763046</v>
      </c>
      <c r="L13" s="13">
        <f t="shared" si="5"/>
        <v>33.727017403258657</v>
      </c>
      <c r="M13" s="13">
        <f t="shared" si="5"/>
        <v>38.717237726899626</v>
      </c>
      <c r="N13" s="13">
        <f t="shared" si="5"/>
        <v>44.902831069280374</v>
      </c>
      <c r="O13" s="13">
        <f t="shared" si="5"/>
        <v>52.698461352696171</v>
      </c>
      <c r="P13" s="13">
        <f t="shared" si="5"/>
        <v>62.715524639686627</v>
      </c>
      <c r="Q13" s="13">
        <f t="shared" si="5"/>
        <v>75.885785248200023</v>
      </c>
    </row>
    <row r="14" spans="2:17">
      <c r="B14" s="1" t="s">
        <v>8</v>
      </c>
      <c r="C14" s="1">
        <v>1500</v>
      </c>
      <c r="D14">
        <v>1500</v>
      </c>
      <c r="F14" s="1" t="s">
        <v>7</v>
      </c>
      <c r="G14" s="22">
        <f>C10-(G7*G13^2)/2</f>
        <v>104786.74969160535</v>
      </c>
      <c r="H14" s="11">
        <f>H6+H11</f>
        <v>104735.69568611095</v>
      </c>
      <c r="I14" s="11">
        <f t="shared" ref="I14:Q14" si="6">I6+I11</f>
        <v>104669.06973389479</v>
      </c>
      <c r="J14" s="11">
        <f t="shared" si="6"/>
        <v>104580.80925216197</v>
      </c>
      <c r="K14" s="11">
        <f t="shared" si="6"/>
        <v>104461.91108778602</v>
      </c>
      <c r="L14" s="11">
        <f t="shared" si="6"/>
        <v>104298.68268580665</v>
      </c>
      <c r="M14" s="11">
        <f t="shared" si="6"/>
        <v>104069.73174424389</v>
      </c>
      <c r="N14" s="11">
        <f t="shared" si="6"/>
        <v>103740.59722119931</v>
      </c>
      <c r="O14" s="11">
        <f t="shared" si="6"/>
        <v>103253.77822192019</v>
      </c>
      <c r="P14" s="11">
        <f t="shared" si="6"/>
        <v>102509.33114768284</v>
      </c>
      <c r="Q14" s="21">
        <f t="shared" si="6"/>
        <v>101325</v>
      </c>
    </row>
    <row r="15" spans="2:17">
      <c r="F15" s="1" t="s">
        <v>13</v>
      </c>
      <c r="G15" s="11">
        <v>1.1850000000000001</v>
      </c>
      <c r="H15" s="11">
        <v>1.1850000000000001</v>
      </c>
      <c r="I15" s="11">
        <v>1.1850000000000001</v>
      </c>
      <c r="J15" s="11">
        <v>1.1850000000000001</v>
      </c>
      <c r="K15" s="11">
        <v>1.1850000000000001</v>
      </c>
      <c r="L15" s="11">
        <v>1.1850000000000001</v>
      </c>
      <c r="M15" s="11">
        <v>1.1850000000000001</v>
      </c>
      <c r="N15" s="11">
        <v>1.1850000000000001</v>
      </c>
      <c r="O15" s="11">
        <v>1.1850000000000001</v>
      </c>
      <c r="P15" s="11">
        <v>1.1850000000000001</v>
      </c>
      <c r="Q15" s="11">
        <v>1.1850000000000001</v>
      </c>
    </row>
    <row r="16" spans="2:17"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6:24">
      <c r="F17" s="1" t="s">
        <v>16</v>
      </c>
      <c r="G17" s="13">
        <f>$C$11-(G13^2)/(2*$C$8)</f>
        <v>287.9808302806095</v>
      </c>
      <c r="H17" s="13">
        <f t="shared" ref="H17:Q17" si="7">$C$11-(H13^2)/(2*$C$8)</f>
        <v>287.94002658860092</v>
      </c>
      <c r="I17" s="13">
        <f t="shared" si="7"/>
        <v>287.88691713945781</v>
      </c>
      <c r="J17" s="13">
        <f t="shared" si="7"/>
        <v>287.81676728965391</v>
      </c>
      <c r="K17" s="13">
        <f t="shared" si="7"/>
        <v>287.72257425545348</v>
      </c>
      <c r="L17" s="13">
        <f t="shared" si="7"/>
        <v>287.59373571140998</v>
      </c>
      <c r="M17" s="13">
        <f t="shared" si="7"/>
        <v>287.41377115830284</v>
      </c>
      <c r="N17" s="13">
        <f t="shared" si="7"/>
        <v>287.15628423036821</v>
      </c>
      <c r="O17" s="13">
        <f t="shared" si="7"/>
        <v>286.77751900192078</v>
      </c>
      <c r="P17" s="13">
        <f t="shared" si="7"/>
        <v>286.20199669910841</v>
      </c>
      <c r="Q17" s="13">
        <f t="shared" si="7"/>
        <v>285.29328733436085</v>
      </c>
    </row>
    <row r="18" spans="6:24">
      <c r="F18" s="1" t="s">
        <v>17</v>
      </c>
      <c r="G18" s="15">
        <f>SQRT($C$6*$C$7*G17)</f>
        <v>340.14615793538206</v>
      </c>
      <c r="H18" s="15">
        <f t="shared" ref="H18:Q18" si="8">SQRT($C$6*$C$7*H17)</f>
        <v>340.12205961133657</v>
      </c>
      <c r="I18" s="15">
        <f t="shared" si="8"/>
        <v>340.09069105090526</v>
      </c>
      <c r="J18" s="15">
        <f t="shared" si="8"/>
        <v>340.04925331443559</v>
      </c>
      <c r="K18" s="15">
        <f t="shared" si="8"/>
        <v>339.99360525005523</v>
      </c>
      <c r="L18" s="15">
        <f t="shared" si="8"/>
        <v>339.91747429987271</v>
      </c>
      <c r="M18" s="15">
        <f t="shared" si="8"/>
        <v>339.81110433824358</v>
      </c>
      <c r="N18" s="15">
        <f t="shared" si="8"/>
        <v>339.65885602677889</v>
      </c>
      <c r="O18" s="15">
        <f t="shared" si="8"/>
        <v>339.43477349297444</v>
      </c>
      <c r="P18" s="15">
        <f t="shared" si="8"/>
        <v>339.09400342004153</v>
      </c>
      <c r="Q18" s="15">
        <f t="shared" si="8"/>
        <v>338.5552530298159</v>
      </c>
    </row>
    <row r="19" spans="6:24">
      <c r="F19" s="1" t="s">
        <v>18</v>
      </c>
      <c r="G19" s="12">
        <f>G13/G18</f>
        <v>5.5774423088545633E-2</v>
      </c>
      <c r="H19" s="12">
        <f t="shared" ref="H19:Q19" si="9">H13/H18</f>
        <v>6.180429325870223E-2</v>
      </c>
      <c r="I19" s="12">
        <f t="shared" si="9"/>
        <v>6.8868532205196217E-2</v>
      </c>
      <c r="J19" s="12">
        <f t="shared" si="9"/>
        <v>7.7218410769888904E-2</v>
      </c>
      <c r="K19" s="12">
        <f t="shared" si="9"/>
        <v>8.7186605842076298E-2</v>
      </c>
      <c r="L19" s="12">
        <f t="shared" si="9"/>
        <v>9.9221193240289052E-2</v>
      </c>
      <c r="M19" s="12">
        <f t="shared" si="9"/>
        <v>0.11393752950568969</v>
      </c>
      <c r="N19" s="12">
        <f t="shared" si="9"/>
        <v>0.13219979480158237</v>
      </c>
      <c r="O19" s="12">
        <f t="shared" si="9"/>
        <v>0.15525357290415301</v>
      </c>
      <c r="P19" s="12">
        <f t="shared" si="9"/>
        <v>0.18495026160046787</v>
      </c>
      <c r="Q19" s="12">
        <f t="shared" si="9"/>
        <v>0.22414593945620129</v>
      </c>
    </row>
    <row r="20" spans="6:24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>
  <sheetPr codeName="Лист3"/>
  <dimension ref="B1:X24"/>
  <sheetViews>
    <sheetView zoomScale="70" zoomScaleNormal="70" workbookViewId="0">
      <selection activeCell="T49" sqref="T49"/>
    </sheetView>
  </sheetViews>
  <sheetFormatPr defaultRowHeight="15"/>
  <cols>
    <col min="7" max="7" width="9.7109375" bestFit="1" customWidth="1"/>
    <col min="8" max="17" width="9.5703125" bestFit="1" customWidth="1"/>
  </cols>
  <sheetData>
    <row r="1" spans="2:17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1" t="s">
        <v>0</v>
      </c>
      <c r="C3" s="1">
        <v>0.1</v>
      </c>
      <c r="F3" s="1" t="s">
        <v>3</v>
      </c>
      <c r="G3" s="24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24">
        <v>0.04</v>
      </c>
    </row>
    <row r="4" spans="2:17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1" t="s">
        <v>12</v>
      </c>
      <c r="G5" s="11">
        <v>17.965677749011054</v>
      </c>
      <c r="H5" s="11">
        <v>19.913413805299584</v>
      </c>
      <c r="I5" s="11">
        <v>22.200045404994878</v>
      </c>
      <c r="J5" s="11">
        <v>24.90816735873263</v>
      </c>
      <c r="K5" s="11">
        <v>28.148271200498691</v>
      </c>
      <c r="L5" s="11">
        <v>32.070248179569305</v>
      </c>
      <c r="M5" s="11">
        <v>36.882190050039029</v>
      </c>
      <c r="N5" s="11">
        <v>42.881135090875794</v>
      </c>
      <c r="O5" s="11">
        <v>50.505904672857866</v>
      </c>
      <c r="P5" s="11">
        <v>60.433923409349447</v>
      </c>
      <c r="Q5" s="11">
        <v>73.774957760448117</v>
      </c>
    </row>
    <row r="6" spans="2:17">
      <c r="B6" s="1" t="s">
        <v>2</v>
      </c>
      <c r="C6" s="1">
        <v>1.4</v>
      </c>
      <c r="F6" s="1" t="s">
        <v>7</v>
      </c>
      <c r="G6" s="11">
        <v>104795.37046284738</v>
      </c>
      <c r="H6" s="11">
        <v>104746.20531791639</v>
      </c>
      <c r="I6" s="11">
        <v>104681.8857714749</v>
      </c>
      <c r="J6" s="11">
        <v>104596.46859521579</v>
      </c>
      <c r="K6" s="11">
        <v>104481.07197642179</v>
      </c>
      <c r="L6" s="11">
        <v>104322.10705669131</v>
      </c>
      <c r="M6" s="11">
        <v>104098.16192725667</v>
      </c>
      <c r="N6" s="11">
        <v>103774.30941407706</v>
      </c>
      <c r="O6" s="11">
        <v>103291.16099902632</v>
      </c>
      <c r="P6" s="11">
        <v>102542.43320918738</v>
      </c>
      <c r="Q6" s="11">
        <v>101325</v>
      </c>
    </row>
    <row r="7" spans="2:17">
      <c r="B7" s="1" t="s">
        <v>3</v>
      </c>
      <c r="C7" s="1">
        <v>286.97199999999998</v>
      </c>
      <c r="F7" s="1" t="s">
        <v>13</v>
      </c>
      <c r="G7" s="11">
        <v>1.2679762066181028</v>
      </c>
      <c r="H7" s="11">
        <v>1.2675429764889037</v>
      </c>
      <c r="I7" s="11">
        <v>1.2669755575208037</v>
      </c>
      <c r="J7" s="11">
        <v>1.266221046615267</v>
      </c>
      <c r="K7" s="11">
        <v>1.2652002232214405</v>
      </c>
      <c r="L7" s="11">
        <v>1.2637915969220439</v>
      </c>
      <c r="M7" s="11">
        <v>1.2618031955055427</v>
      </c>
      <c r="N7" s="11">
        <v>1.2589207925658019</v>
      </c>
      <c r="O7" s="11">
        <v>1.2546077778956615</v>
      </c>
      <c r="P7" s="11">
        <v>1.2478984257538666</v>
      </c>
      <c r="Q7" s="11">
        <v>1.2369330813723052</v>
      </c>
    </row>
    <row r="8" spans="2:17">
      <c r="B8" s="1" t="s">
        <v>4</v>
      </c>
      <c r="C8" s="1">
        <v>1004.4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2:17">
      <c r="B10" s="1" t="s">
        <v>5</v>
      </c>
      <c r="C10" s="1">
        <v>105000</v>
      </c>
      <c r="F10" s="1" t="s">
        <v>14</v>
      </c>
      <c r="G10" s="10">
        <f t="shared" ref="G10:Q10" si="3">G4*G7*G13</f>
        <v>0.45802108266294694</v>
      </c>
      <c r="H10" s="10">
        <f t="shared" si="3"/>
        <v>0.45802205274429714</v>
      </c>
      <c r="I10" s="10">
        <f t="shared" si="3"/>
        <v>0.45807673534866261</v>
      </c>
      <c r="J10" s="10">
        <f t="shared" si="3"/>
        <v>0.45816340495744534</v>
      </c>
      <c r="K10" s="10">
        <f t="shared" si="3"/>
        <v>0.45827075232910464</v>
      </c>
      <c r="L10" s="10">
        <f t="shared" si="3"/>
        <v>0.45838593888599438</v>
      </c>
      <c r="M10" s="10">
        <f t="shared" si="3"/>
        <v>0.45849551753028378</v>
      </c>
      <c r="N10" s="10">
        <f t="shared" si="3"/>
        <v>0.45858704157640262</v>
      </c>
      <c r="O10" s="10">
        <f t="shared" si="3"/>
        <v>0.4586514358057997</v>
      </c>
      <c r="P10" s="10">
        <f t="shared" si="3"/>
        <v>0.45868587055653737</v>
      </c>
      <c r="Q10" s="10">
        <f t="shared" si="3"/>
        <v>0.4586961256338285</v>
      </c>
    </row>
    <row r="11" spans="2:17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-1.0889196349907187E-3</v>
      </c>
      <c r="I11" s="12">
        <f t="shared" ref="I11:P11" si="4">(I13)*(I10-J10)</f>
        <v>-1.9240748799069811E-3</v>
      </c>
      <c r="J11" s="12">
        <f t="shared" si="4"/>
        <v>-2.6738348971043738E-3</v>
      </c>
      <c r="K11" s="12">
        <f t="shared" si="4"/>
        <v>-3.242312397185585E-3</v>
      </c>
      <c r="L11" s="12">
        <f t="shared" si="4"/>
        <v>-3.5142234567933513E-3</v>
      </c>
      <c r="M11" s="12">
        <f t="shared" si="4"/>
        <v>-3.3756138165896474E-3</v>
      </c>
      <c r="N11" s="12">
        <f t="shared" si="4"/>
        <v>-2.7613010784255558E-3</v>
      </c>
      <c r="O11" s="12">
        <f t="shared" si="4"/>
        <v>-1.7391593581165643E-3</v>
      </c>
      <c r="P11" s="12">
        <f t="shared" si="4"/>
        <v>-6.1975471239774076E-4</v>
      </c>
      <c r="Q11" s="21">
        <v>0</v>
      </c>
    </row>
    <row r="12" spans="2:17">
      <c r="B12" s="1" t="s">
        <v>7</v>
      </c>
      <c r="C12" s="1">
        <v>101325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2:17">
      <c r="F13" s="1" t="s">
        <v>12</v>
      </c>
      <c r="G13" s="21">
        <f>(H4*H5*H7)/(G4*G7)</f>
        <v>17.96571550535436</v>
      </c>
      <c r="H13" s="13">
        <f t="shared" ref="H13:P13" si="5">((G6-H6)/H7+G5*H5)^0.5</f>
        <v>19.913455981592517</v>
      </c>
      <c r="I13" s="13">
        <f t="shared" si="5"/>
        <v>22.200110360834749</v>
      </c>
      <c r="J13" s="13">
        <f t="shared" si="5"/>
        <v>24.908247456591255</v>
      </c>
      <c r="K13" s="13">
        <f t="shared" si="5"/>
        <v>28.148357627262506</v>
      </c>
      <c r="L13" s="13">
        <f t="shared" si="5"/>
        <v>32.070331583152644</v>
      </c>
      <c r="M13" s="13">
        <f t="shared" si="5"/>
        <v>36.882261654019779</v>
      </c>
      <c r="N13" s="13">
        <f t="shared" si="5"/>
        <v>42.881188334412563</v>
      </c>
      <c r="O13" s="13">
        <f t="shared" si="5"/>
        <v>50.505937196002144</v>
      </c>
      <c r="P13" s="13">
        <f t="shared" si="5"/>
        <v>60.433938702113757</v>
      </c>
      <c r="Q13" s="13">
        <f>((P6-Q6)/Q7+P5*Q5)^0.5</f>
        <v>73.774964942658258</v>
      </c>
    </row>
    <row r="14" spans="2:17">
      <c r="B14" s="1" t="s">
        <v>8</v>
      </c>
      <c r="C14" s="1">
        <v>1500</v>
      </c>
      <c r="D14">
        <v>1500</v>
      </c>
      <c r="F14" s="1" t="s">
        <v>7</v>
      </c>
      <c r="G14" s="22">
        <f>C10-(G7*G13^2)/2</f>
        <v>104795.36960394381</v>
      </c>
      <c r="H14" s="14">
        <f>H6+H11</f>
        <v>104746.20422899675</v>
      </c>
      <c r="I14" s="14">
        <f t="shared" ref="I14:Q14" si="6">I6+I11</f>
        <v>104681.88384740002</v>
      </c>
      <c r="J14" s="14">
        <f t="shared" si="6"/>
        <v>104596.46592138089</v>
      </c>
      <c r="K14" s="14">
        <f t="shared" si="6"/>
        <v>104481.0687341094</v>
      </c>
      <c r="L14" s="14">
        <f t="shared" si="6"/>
        <v>104322.10354246786</v>
      </c>
      <c r="M14" s="14">
        <f t="shared" si="6"/>
        <v>104098.15855164286</v>
      </c>
      <c r="N14" s="14">
        <f t="shared" si="6"/>
        <v>103774.30665277598</v>
      </c>
      <c r="O14" s="14">
        <f t="shared" si="6"/>
        <v>103291.15925986697</v>
      </c>
      <c r="P14" s="14">
        <f t="shared" si="6"/>
        <v>102542.43258943266</v>
      </c>
      <c r="Q14" s="22">
        <f t="shared" si="6"/>
        <v>101325</v>
      </c>
    </row>
    <row r="15" spans="2:17">
      <c r="F15" s="1" t="s">
        <v>13</v>
      </c>
      <c r="G15" s="11">
        <f>G14/($C$7*G17)</f>
        <v>1.2679761991991174</v>
      </c>
      <c r="H15" s="11">
        <f t="shared" ref="H15:Q15" si="7">H14/($C$7*H17)</f>
        <v>1.267542966992526</v>
      </c>
      <c r="I15" s="11">
        <f t="shared" si="7"/>
        <v>1.2669755405513954</v>
      </c>
      <c r="J15" s="11">
        <f t="shared" si="7"/>
        <v>1.2662210229841522</v>
      </c>
      <c r="K15" s="11">
        <f t="shared" si="7"/>
        <v>1.2652001946082072</v>
      </c>
      <c r="L15" s="11">
        <f t="shared" si="7"/>
        <v>1.2637915660498549</v>
      </c>
      <c r="M15" s="11">
        <f t="shared" si="7"/>
        <v>1.2618031661293456</v>
      </c>
      <c r="N15" s="11">
        <f t="shared" si="7"/>
        <v>1.2589207690301487</v>
      </c>
      <c r="O15" s="11">
        <f t="shared" si="7"/>
        <v>1.2546077639231541</v>
      </c>
      <c r="P15" s="11">
        <f t="shared" si="7"/>
        <v>1.2478984222218048</v>
      </c>
      <c r="Q15" s="11">
        <f t="shared" si="7"/>
        <v>1.2369330836583028</v>
      </c>
    </row>
    <row r="16" spans="2:17"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6:24">
      <c r="F17" s="1" t="s">
        <v>16</v>
      </c>
      <c r="G17" s="13">
        <f>$C$11-(G13^2)/(2*$C$8)</f>
        <v>287.99932350974746</v>
      </c>
      <c r="H17" s="13">
        <f t="shared" ref="H17:Q17" si="8">$C$11-(H13^2)/(2*$C$8)</f>
        <v>287.96259571429175</v>
      </c>
      <c r="I17" s="13">
        <f t="shared" si="8"/>
        <v>287.91465705892415</v>
      </c>
      <c r="J17" s="13">
        <f t="shared" si="8"/>
        <v>287.85114855069759</v>
      </c>
      <c r="K17" s="13">
        <f t="shared" si="8"/>
        <v>287.76557047136987</v>
      </c>
      <c r="L17" s="13">
        <f t="shared" si="8"/>
        <v>287.64799971731713</v>
      </c>
      <c r="M17" s="13">
        <f t="shared" si="8"/>
        <v>287.4828289403049</v>
      </c>
      <c r="N17" s="13">
        <f t="shared" si="8"/>
        <v>287.24462947382949</v>
      </c>
      <c r="O17" s="13">
        <f t="shared" si="8"/>
        <v>286.89016243924408</v>
      </c>
      <c r="P17" s="13">
        <f t="shared" si="8"/>
        <v>286.34186930154777</v>
      </c>
      <c r="Q17" s="13">
        <f t="shared" si="8"/>
        <v>285.45054885887572</v>
      </c>
    </row>
    <row r="18" spans="6:24">
      <c r="F18" s="1" t="s">
        <v>17</v>
      </c>
      <c r="G18" s="15">
        <f>SQRT($C$6*$C$7*G17)</f>
        <v>340.15707932179646</v>
      </c>
      <c r="H18" s="15">
        <f t="shared" ref="H18:Q18" si="9">SQRT($C$6*$C$7*H17)</f>
        <v>340.13538896188152</v>
      </c>
      <c r="I18" s="15">
        <f t="shared" si="9"/>
        <v>340.10707571545612</v>
      </c>
      <c r="J18" s="15">
        <f t="shared" si="9"/>
        <v>340.06956306415765</v>
      </c>
      <c r="K18" s="15">
        <f t="shared" si="9"/>
        <v>340.01900800548481</v>
      </c>
      <c r="L18" s="15">
        <f t="shared" si="9"/>
        <v>339.94954108636341</v>
      </c>
      <c r="M18" s="15">
        <f t="shared" si="9"/>
        <v>339.85192561072836</v>
      </c>
      <c r="N18" s="15">
        <f t="shared" si="9"/>
        <v>339.71110098598382</v>
      </c>
      <c r="O18" s="15">
        <f t="shared" si="9"/>
        <v>339.50143029701752</v>
      </c>
      <c r="P18" s="15">
        <f t="shared" si="9"/>
        <v>339.1768542870891</v>
      </c>
      <c r="Q18" s="15">
        <f t="shared" si="9"/>
        <v>338.64855066865556</v>
      </c>
    </row>
    <row r="19" spans="6:24">
      <c r="F19" s="1" t="s">
        <v>18</v>
      </c>
      <c r="G19" s="12">
        <f>G13/G18</f>
        <v>5.2815938863228475E-2</v>
      </c>
      <c r="H19" s="12">
        <f t="shared" ref="H19:P19" si="10">H13/H18</f>
        <v>5.8545675127689191E-2</v>
      </c>
      <c r="I19" s="12">
        <f t="shared" si="10"/>
        <v>6.5273885625972791E-2</v>
      </c>
      <c r="J19" s="12">
        <f t="shared" si="10"/>
        <v>7.3244565706375955E-2</v>
      </c>
      <c r="K19" s="12">
        <f t="shared" si="10"/>
        <v>8.2784658988265883E-2</v>
      </c>
      <c r="L19" s="12">
        <f t="shared" si="10"/>
        <v>9.4338505298953323E-2</v>
      </c>
      <c r="M19" s="12">
        <f t="shared" si="10"/>
        <v>0.10852450398137596</v>
      </c>
      <c r="N19" s="12">
        <f t="shared" si="10"/>
        <v>0.12622839880696687</v>
      </c>
      <c r="O19" s="12">
        <f t="shared" si="10"/>
        <v>0.14876502037654546</v>
      </c>
      <c r="P19" s="12">
        <f t="shared" si="10"/>
        <v>0.17817825107535409</v>
      </c>
      <c r="Q19" s="12">
        <f>Q13/Q18</f>
        <v>0.21785111673146362</v>
      </c>
    </row>
    <row r="20" spans="6:24">
      <c r="F20" s="11" t="s">
        <v>19</v>
      </c>
      <c r="G20" s="11">
        <f>1-((($C$6-1)/($C$6+1))*G21^2)</f>
        <v>0.9994451906278492</v>
      </c>
      <c r="H20" s="11">
        <f t="shared" ref="H20:Q20" si="11">1-((($C$6-1)/($C$6+1))*H21^2)</f>
        <v>0.99931914815499334</v>
      </c>
      <c r="I20" s="11">
        <f t="shared" si="11"/>
        <v>0.99915506397534504</v>
      </c>
      <c r="J20" s="11">
        <f t="shared" si="11"/>
        <v>0.99893843679612382</v>
      </c>
      <c r="K20" s="11">
        <f t="shared" si="11"/>
        <v>0.99864787310904413</v>
      </c>
      <c r="L20" s="11">
        <f t="shared" si="11"/>
        <v>0.99825117746287018</v>
      </c>
      <c r="M20" s="11">
        <f t="shared" si="11"/>
        <v>0.99769869398315969</v>
      </c>
      <c r="N20" s="11">
        <f t="shared" si="11"/>
        <v>0.99691169398586221</v>
      </c>
      <c r="O20" s="11">
        <f t="shared" si="11"/>
        <v>0.99576140279709935</v>
      </c>
      <c r="P20" s="11">
        <f t="shared" si="11"/>
        <v>0.9940295930298334</v>
      </c>
      <c r="Q20" s="11">
        <f t="shared" si="11"/>
        <v>0.99133102212098823</v>
      </c>
    </row>
    <row r="21" spans="6:24">
      <c r="F21" s="11" t="s">
        <v>20</v>
      </c>
      <c r="G21" s="11">
        <f>SQRT(((($C$6+1)/2)*G19^2)/(1+2*G19^2))</f>
        <v>5.7696241063908013E-2</v>
      </c>
      <c r="H21" s="11">
        <f>SQRT(((($C$6+1)/2)*H19^2)/(1+2*H19^2))</f>
        <v>6.3914873621400858E-2</v>
      </c>
      <c r="I21" s="11">
        <f t="shared" ref="I21:Q21" si="12">SQRT(((($C$6+1)/2)*I19^2)/(1+2*I19^2))</f>
        <v>7.1201236983141639E-2</v>
      </c>
      <c r="J21" s="11">
        <f t="shared" si="12"/>
        <v>7.9808390682038655E-2</v>
      </c>
      <c r="K21" s="11">
        <f t="shared" si="12"/>
        <v>9.007086846331129E-2</v>
      </c>
      <c r="L21" s="11">
        <f t="shared" si="12"/>
        <v>0.10243502927601809</v>
      </c>
      <c r="M21" s="11">
        <f t="shared" si="12"/>
        <v>0.11750674917229943</v>
      </c>
      <c r="N21" s="11">
        <f t="shared" si="12"/>
        <v>0.13612434053036448</v>
      </c>
      <c r="O21" s="11">
        <f t="shared" si="12"/>
        <v>0.15947282908823032</v>
      </c>
      <c r="P21" s="11">
        <f t="shared" si="12"/>
        <v>0.18926817434793303</v>
      </c>
      <c r="Q21" s="11">
        <f t="shared" si="12"/>
        <v>0.22806548900276599</v>
      </c>
      <c r="S21" s="3"/>
      <c r="T21" s="3"/>
      <c r="U21" s="3"/>
      <c r="V21" s="3"/>
      <c r="W21" s="3"/>
      <c r="X21" s="3"/>
    </row>
    <row r="22" spans="6:24">
      <c r="F22" s="11" t="s">
        <v>21</v>
      </c>
      <c r="G22" s="11">
        <f>(1-((($C$6-1)/($C$6+1))*G21^2))^($C$6/($C$6-1))</f>
        <v>0.99805951350771915</v>
      </c>
      <c r="H22" s="11">
        <f t="shared" ref="H22:Q22" si="13">(1-((($C$6-1)/($C$6+1))*H21^2))^($C$6/($C$6-1))</f>
        <v>0.99761904592377981</v>
      </c>
      <c r="I22" s="11">
        <f t="shared" si="13"/>
        <v>0.99704584598069135</v>
      </c>
      <c r="J22" s="11">
        <f t="shared" si="13"/>
        <v>0.99628945642929645</v>
      </c>
      <c r="K22" s="11">
        <f t="shared" si="13"/>
        <v>0.99527554905621063</v>
      </c>
      <c r="L22" s="11">
        <f t="shared" si="13"/>
        <v>0.99389248983628464</v>
      </c>
      <c r="M22" s="11">
        <f t="shared" si="13"/>
        <v>0.99196857232910385</v>
      </c>
      <c r="N22" s="11">
        <f t="shared" si="13"/>
        <v>0.98923259169120825</v>
      </c>
      <c r="O22" s="11">
        <f t="shared" si="13"/>
        <v>0.98524334326618301</v>
      </c>
      <c r="P22" s="11">
        <f t="shared" si="13"/>
        <v>0.97925906060631596</v>
      </c>
      <c r="Q22" s="11">
        <f t="shared" si="13"/>
        <v>0.96998594024949014</v>
      </c>
      <c r="S22" s="3"/>
      <c r="T22" s="3"/>
      <c r="U22" s="3"/>
      <c r="V22" s="3"/>
      <c r="W22" s="3"/>
      <c r="X22" s="3"/>
    </row>
    <row r="23" spans="6:24">
      <c r="F23" s="11" t="s">
        <v>5</v>
      </c>
      <c r="G23" s="11">
        <f>G14/G22</f>
        <v>104999.11897601816</v>
      </c>
      <c r="H23" s="11">
        <f t="shared" ref="H23:Q23" si="14">H14/H22</f>
        <v>104996.19534829889</v>
      </c>
      <c r="I23" s="11">
        <f t="shared" si="14"/>
        <v>104992.04652363325</v>
      </c>
      <c r="J23" s="11">
        <f t="shared" si="14"/>
        <v>104986.02112708775</v>
      </c>
      <c r="K23" s="11">
        <f t="shared" si="14"/>
        <v>104977.02755099892</v>
      </c>
      <c r="L23" s="11">
        <f t="shared" si="14"/>
        <v>104963.16715266854</v>
      </c>
      <c r="M23" s="11">
        <f t="shared" si="14"/>
        <v>104940.9844781921</v>
      </c>
      <c r="N23" s="11">
        <f t="shared" si="14"/>
        <v>104903.84923060585</v>
      </c>
      <c r="O23" s="11">
        <f t="shared" si="14"/>
        <v>104838.22089824647</v>
      </c>
      <c r="P23" s="11">
        <f t="shared" si="14"/>
        <v>104714.30565671019</v>
      </c>
      <c r="Q23" s="11">
        <f t="shared" si="14"/>
        <v>104460.27699529148</v>
      </c>
      <c r="S23" s="3"/>
      <c r="T23" s="3"/>
      <c r="U23" s="3"/>
      <c r="V23" s="3"/>
      <c r="W23" s="3"/>
      <c r="X23" s="3"/>
    </row>
    <row r="24" spans="6:24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Лист5"/>
  <dimension ref="B1:Y24"/>
  <sheetViews>
    <sheetView tabSelected="1" zoomScale="70" zoomScaleNormal="70" workbookViewId="0">
      <selection activeCell="T17" sqref="T17"/>
    </sheetView>
  </sheetViews>
  <sheetFormatPr defaultRowHeight="15"/>
  <cols>
    <col min="7" max="7" width="9.7109375" bestFit="1" customWidth="1"/>
    <col min="8" max="17" width="9.5703125" bestFit="1" customWidth="1"/>
  </cols>
  <sheetData>
    <row r="1" spans="2:25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25">
      <c r="F2" s="1" t="s">
        <v>10</v>
      </c>
      <c r="G2" s="17">
        <v>0</v>
      </c>
      <c r="H2" s="17">
        <f>G2+$C$4</f>
        <v>0.01</v>
      </c>
      <c r="I2" s="17">
        <f t="shared" ref="I2:Q2" si="0">H2+$C$4</f>
        <v>0.02</v>
      </c>
      <c r="J2" s="17">
        <f t="shared" si="0"/>
        <v>0.03</v>
      </c>
      <c r="K2" s="17">
        <f t="shared" si="0"/>
        <v>0.04</v>
      </c>
      <c r="L2" s="17">
        <f t="shared" si="0"/>
        <v>0.05</v>
      </c>
      <c r="M2" s="17">
        <f t="shared" si="0"/>
        <v>6.0000000000000005E-2</v>
      </c>
      <c r="N2" s="17">
        <f t="shared" si="0"/>
        <v>7.0000000000000007E-2</v>
      </c>
      <c r="O2" s="17">
        <f t="shared" si="0"/>
        <v>0.08</v>
      </c>
      <c r="P2" s="17">
        <f t="shared" si="0"/>
        <v>0.09</v>
      </c>
      <c r="Q2" s="17">
        <f t="shared" si="0"/>
        <v>9.9999999999999992E-2</v>
      </c>
    </row>
    <row r="3" spans="2:25">
      <c r="B3" s="1" t="s">
        <v>0</v>
      </c>
      <c r="C3" s="1">
        <v>0.1</v>
      </c>
      <c r="F3" s="1" t="s">
        <v>3</v>
      </c>
      <c r="G3" s="25">
        <v>0.08</v>
      </c>
      <c r="H3" s="17">
        <f>G3+($Q$3-$G$3)/10</f>
        <v>7.5999999999999998E-2</v>
      </c>
      <c r="I3" s="17">
        <f t="shared" ref="I3:P3" si="1">H3+($Q$3-$G$3)/10</f>
        <v>7.1999999999999995E-2</v>
      </c>
      <c r="J3" s="17">
        <f t="shared" si="1"/>
        <v>6.7999999999999991E-2</v>
      </c>
      <c r="K3" s="17">
        <f t="shared" si="1"/>
        <v>6.3999999999999987E-2</v>
      </c>
      <c r="L3" s="17">
        <f t="shared" si="1"/>
        <v>5.9999999999999984E-2</v>
      </c>
      <c r="M3" s="17">
        <f t="shared" si="1"/>
        <v>5.599999999999998E-2</v>
      </c>
      <c r="N3" s="17">
        <f t="shared" si="1"/>
        <v>5.1999999999999977E-2</v>
      </c>
      <c r="O3" s="17">
        <f t="shared" si="1"/>
        <v>4.7999999999999973E-2</v>
      </c>
      <c r="P3" s="17">
        <f t="shared" si="1"/>
        <v>4.399999999999997E-2</v>
      </c>
      <c r="Q3" s="25">
        <v>0.04</v>
      </c>
      <c r="T3" s="7"/>
      <c r="U3" s="7">
        <v>0</v>
      </c>
      <c r="V3" s="6">
        <v>2.5000000000000001E-2</v>
      </c>
      <c r="W3" s="7">
        <v>0.05</v>
      </c>
      <c r="X3" s="6">
        <v>7.4999999999999997E-2</v>
      </c>
      <c r="Y3" s="7">
        <v>0.1</v>
      </c>
    </row>
    <row r="4" spans="2:25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3">
        <f t="shared" si="2"/>
        <v>5.0265482457436689E-3</v>
      </c>
      <c r="T4" s="7" t="s">
        <v>22</v>
      </c>
      <c r="U4" s="8">
        <v>62.6</v>
      </c>
      <c r="V4" s="7">
        <v>78.260000000000005</v>
      </c>
      <c r="W4" s="7">
        <v>106.77</v>
      </c>
      <c r="X4" s="7">
        <v>153.75</v>
      </c>
      <c r="Y4" s="7">
        <v>238.13</v>
      </c>
    </row>
    <row r="5" spans="2:25">
      <c r="F5" s="1" t="s">
        <v>12</v>
      </c>
      <c r="G5" s="17">
        <v>106.77346521740971</v>
      </c>
      <c r="H5" s="17">
        <v>118.30880602632858</v>
      </c>
      <c r="I5" s="17">
        <v>131.83543684838898</v>
      </c>
      <c r="J5" s="17">
        <v>147.82577804181702</v>
      </c>
      <c r="K5" s="17">
        <v>166.91248036802023</v>
      </c>
      <c r="L5" s="17">
        <v>189.94514290211384</v>
      </c>
      <c r="M5" s="17">
        <v>218.08663139815965</v>
      </c>
      <c r="N5" s="17">
        <v>252.96346633415229</v>
      </c>
      <c r="O5" s="17">
        <v>296.90787671612031</v>
      </c>
      <c r="P5" s="17">
        <v>353.36103997023986</v>
      </c>
      <c r="Q5" s="17">
        <v>427.57197830846815</v>
      </c>
      <c r="T5" s="7" t="s">
        <v>23</v>
      </c>
      <c r="U5" s="9">
        <v>132552</v>
      </c>
      <c r="V5" s="9">
        <v>131334</v>
      </c>
      <c r="W5" s="9">
        <v>128213</v>
      </c>
      <c r="X5" s="9">
        <v>120941</v>
      </c>
      <c r="Y5" s="9">
        <v>101336</v>
      </c>
    </row>
    <row r="6" spans="2:25">
      <c r="B6" s="1" t="s">
        <v>2</v>
      </c>
      <c r="C6" s="1">
        <v>1.4</v>
      </c>
      <c r="F6" s="1" t="s">
        <v>7</v>
      </c>
      <c r="G6" s="17">
        <v>211245.16057183896</v>
      </c>
      <c r="H6" s="17">
        <v>209627.88029721737</v>
      </c>
      <c r="I6" s="17">
        <v>207514.57687025546</v>
      </c>
      <c r="J6" s="17">
        <v>204713.35765700546</v>
      </c>
      <c r="K6" s="17">
        <v>200938.0193143356</v>
      </c>
      <c r="L6" s="17">
        <v>195753.54995743209</v>
      </c>
      <c r="M6" s="17">
        <v>188480.7162976643</v>
      </c>
      <c r="N6" s="17">
        <v>178025.8488447472</v>
      </c>
      <c r="O6" s="17">
        <v>162564.54158267644</v>
      </c>
      <c r="P6" s="17">
        <v>138925.69777259091</v>
      </c>
      <c r="Q6" s="17">
        <v>101325</v>
      </c>
      <c r="T6" s="7" t="s">
        <v>24</v>
      </c>
      <c r="U6" s="6">
        <v>1.375</v>
      </c>
      <c r="V6" s="7"/>
      <c r="W6" s="7"/>
      <c r="X6" s="7"/>
      <c r="Y6" s="7"/>
    </row>
    <row r="7" spans="2:25">
      <c r="B7" s="1" t="s">
        <v>3</v>
      </c>
      <c r="C7" s="1">
        <v>286.97199999999998</v>
      </c>
      <c r="F7" s="1" t="s">
        <v>13</v>
      </c>
      <c r="G7" s="17">
        <v>1.1850000000000001</v>
      </c>
      <c r="H7" s="17">
        <v>1.1850000000000001</v>
      </c>
      <c r="I7" s="17">
        <v>1.1850000000000001</v>
      </c>
      <c r="J7" s="17">
        <v>1.1850000000000001</v>
      </c>
      <c r="K7" s="17">
        <v>1.1850000000000001</v>
      </c>
      <c r="L7" s="17">
        <v>1.1850000000000001</v>
      </c>
      <c r="M7" s="17">
        <v>1.1850000000000001</v>
      </c>
      <c r="N7" s="17">
        <v>1.1850000000000001</v>
      </c>
      <c r="O7" s="17">
        <v>1.1850000000000001</v>
      </c>
      <c r="P7" s="17">
        <v>1.1850000000000001</v>
      </c>
      <c r="Q7" s="17">
        <v>1.1850000000000001</v>
      </c>
    </row>
    <row r="8" spans="2:25">
      <c r="B8" s="1" t="s">
        <v>4</v>
      </c>
      <c r="C8" s="1">
        <v>1004.4</v>
      </c>
      <c r="G8" s="18"/>
      <c r="H8" s="18"/>
      <c r="I8" s="18"/>
      <c r="J8" s="18"/>
      <c r="K8" s="18"/>
      <c r="L8" s="18"/>
      <c r="M8" s="18"/>
      <c r="N8" s="18"/>
      <c r="O8" s="18"/>
      <c r="P8" s="18"/>
      <c r="Q8" s="18"/>
    </row>
    <row r="9" spans="2:25">
      <c r="G9" s="18"/>
      <c r="H9" s="18"/>
      <c r="I9" s="18"/>
      <c r="J9" s="18"/>
      <c r="K9" s="18"/>
      <c r="L9" s="18"/>
      <c r="M9" s="18"/>
      <c r="N9" s="18"/>
      <c r="O9" s="18"/>
      <c r="P9" s="18"/>
      <c r="Q9" s="18"/>
    </row>
    <row r="10" spans="2:25">
      <c r="B10" s="1" t="s">
        <v>5</v>
      </c>
      <c r="C10" s="1">
        <v>218000</v>
      </c>
      <c r="F10" s="1" t="s">
        <v>14</v>
      </c>
      <c r="G10" s="10">
        <f>G4*G7*G13</f>
        <v>2.5439728909582437</v>
      </c>
      <c r="H10" s="10">
        <f t="shared" ref="H10:Q10" si="3">H4*H7*H13</f>
        <v>2.5439784418729214</v>
      </c>
      <c r="I10" s="10">
        <f t="shared" si="3"/>
        <v>2.544289303683049</v>
      </c>
      <c r="J10" s="10">
        <f t="shared" si="3"/>
        <v>2.5447044495398883</v>
      </c>
      <c r="K10" s="10">
        <f t="shared" si="3"/>
        <v>2.5451770625558776</v>
      </c>
      <c r="L10" s="10">
        <f t="shared" si="3"/>
        <v>2.5456561547186798</v>
      </c>
      <c r="M10" s="10">
        <f t="shared" si="3"/>
        <v>2.5460909585667735</v>
      </c>
      <c r="N10" s="13">
        <f t="shared" si="3"/>
        <v>2.5464378453092893</v>
      </c>
      <c r="O10" s="10">
        <f t="shared" si="3"/>
        <v>2.5466695876878793</v>
      </c>
      <c r="P10" s="10">
        <f t="shared" si="3"/>
        <v>2.5467851863366322</v>
      </c>
      <c r="Q10" s="10">
        <f t="shared" si="3"/>
        <v>2.5468154468156907</v>
      </c>
    </row>
    <row r="11" spans="2:25">
      <c r="B11" s="1" t="s">
        <v>6</v>
      </c>
      <c r="C11" s="1">
        <v>288.16000000000003</v>
      </c>
      <c r="F11" s="1" t="s">
        <v>15</v>
      </c>
      <c r="G11" s="17">
        <v>0</v>
      </c>
      <c r="H11" s="17">
        <f>H13*(H10-I10)</f>
        <v>-3.6777769843794411E-2</v>
      </c>
      <c r="I11" s="17">
        <f t="shared" ref="I11:P11" si="4">I13*(I10-J10)</f>
        <v>-5.4731075735119435E-2</v>
      </c>
      <c r="J11" s="17">
        <f t="shared" si="4"/>
        <v>-6.9864568143776118E-2</v>
      </c>
      <c r="K11" s="17">
        <f t="shared" si="4"/>
        <v>-7.9966648796752193E-2</v>
      </c>
      <c r="L11" s="17">
        <f t="shared" si="4"/>
        <v>-8.258903614960536E-2</v>
      </c>
      <c r="M11" s="17">
        <f t="shared" si="4"/>
        <v>-7.5651464494586471E-2</v>
      </c>
      <c r="N11" s="17">
        <f t="shared" si="4"/>
        <v>-5.8622404806882883E-2</v>
      </c>
      <c r="O11" s="17">
        <f t="shared" si="4"/>
        <v>-3.4322163971628912E-2</v>
      </c>
      <c r="P11" s="17">
        <f t="shared" si="4"/>
        <v>-1.0692876188031671E-2</v>
      </c>
      <c r="Q11" s="26">
        <v>0</v>
      </c>
    </row>
    <row r="12" spans="2:25">
      <c r="B12" s="1" t="s">
        <v>7</v>
      </c>
      <c r="C12" s="1">
        <v>101325</v>
      </c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</row>
    <row r="13" spans="2:25">
      <c r="F13" s="1" t="s">
        <v>12</v>
      </c>
      <c r="G13" s="26">
        <f>(H4*H5*H7)/(G4*G7)</f>
        <v>106.77369743876154</v>
      </c>
      <c r="H13" s="17">
        <f>((G6-H6)/H7+G5*H5)^0.5</f>
        <v>118.30906417455424</v>
      </c>
      <c r="I13" s="17">
        <f t="shared" ref="I13:Q13" si="5">((H6-I6)/I7+H5*I5)^0.5</f>
        <v>131.83577490525659</v>
      </c>
      <c r="J13" s="17">
        <f t="shared" si="5"/>
        <v>147.82616174361391</v>
      </c>
      <c r="K13" s="17">
        <f t="shared" si="5"/>
        <v>166.9128718972006</v>
      </c>
      <c r="L13" s="17">
        <f t="shared" si="5"/>
        <v>189.9455041893037</v>
      </c>
      <c r="M13" s="17">
        <f t="shared" si="5"/>
        <v>218.08692931277685</v>
      </c>
      <c r="N13" s="17">
        <f t="shared" si="5"/>
        <v>252.96367959781344</v>
      </c>
      <c r="O13" s="17">
        <f t="shared" si="5"/>
        <v>296.90800318091112</v>
      </c>
      <c r="P13" s="17">
        <f t="shared" si="5"/>
        <v>353.36110070674175</v>
      </c>
      <c r="Q13" s="17">
        <f t="shared" si="5"/>
        <v>427.57201213450554</v>
      </c>
    </row>
    <row r="14" spans="2:25">
      <c r="B14" s="1" t="s">
        <v>8</v>
      </c>
      <c r="C14" s="1">
        <v>1500</v>
      </c>
      <c r="D14">
        <v>1500</v>
      </c>
      <c r="F14" s="1" t="s">
        <v>7</v>
      </c>
      <c r="G14" s="26">
        <f>C10-(G7*G13^2)/2</f>
        <v>211245.13118963907</v>
      </c>
      <c r="H14" s="17">
        <f>H6+H11</f>
        <v>209627.84351944752</v>
      </c>
      <c r="I14" s="17">
        <f t="shared" ref="I14:Q14" si="6">I6+I11</f>
        <v>207514.52213917972</v>
      </c>
      <c r="J14" s="17">
        <f t="shared" si="6"/>
        <v>204713.2877924373</v>
      </c>
      <c r="K14" s="17">
        <f t="shared" si="6"/>
        <v>200937.9393476868</v>
      </c>
      <c r="L14" s="17">
        <f t="shared" si="6"/>
        <v>195753.46736839594</v>
      </c>
      <c r="M14" s="17">
        <f t="shared" si="6"/>
        <v>188480.64064619981</v>
      </c>
      <c r="N14" s="17">
        <f t="shared" si="6"/>
        <v>178025.79022234239</v>
      </c>
      <c r="O14" s="17">
        <f t="shared" si="6"/>
        <v>162564.50726051247</v>
      </c>
      <c r="P14" s="17">
        <f t="shared" si="6"/>
        <v>138925.68707971473</v>
      </c>
      <c r="Q14" s="26">
        <f t="shared" si="6"/>
        <v>101325</v>
      </c>
    </row>
    <row r="15" spans="2:25">
      <c r="F15" s="1" t="s">
        <v>13</v>
      </c>
      <c r="G15" s="17">
        <f>1.185</f>
        <v>1.1850000000000001</v>
      </c>
      <c r="H15" s="17">
        <f t="shared" ref="H15:Q15" si="7">1.185</f>
        <v>1.1850000000000001</v>
      </c>
      <c r="I15" s="17">
        <f t="shared" si="7"/>
        <v>1.1850000000000001</v>
      </c>
      <c r="J15" s="17">
        <f t="shared" si="7"/>
        <v>1.1850000000000001</v>
      </c>
      <c r="K15" s="17">
        <f t="shared" si="7"/>
        <v>1.1850000000000001</v>
      </c>
      <c r="L15" s="17">
        <f t="shared" si="7"/>
        <v>1.1850000000000001</v>
      </c>
      <c r="M15" s="17">
        <f t="shared" si="7"/>
        <v>1.1850000000000001</v>
      </c>
      <c r="N15" s="17">
        <f t="shared" si="7"/>
        <v>1.1850000000000001</v>
      </c>
      <c r="O15" s="17">
        <f t="shared" si="7"/>
        <v>1.1850000000000001</v>
      </c>
      <c r="P15" s="17">
        <f t="shared" si="7"/>
        <v>1.1850000000000001</v>
      </c>
      <c r="Q15" s="17">
        <f t="shared" si="7"/>
        <v>1.1850000000000001</v>
      </c>
    </row>
    <row r="16" spans="2:25">
      <c r="G16" s="18"/>
      <c r="H16" s="18"/>
      <c r="I16" s="18"/>
      <c r="J16" s="18"/>
      <c r="K16" s="18"/>
      <c r="L16" s="18"/>
      <c r="M16" s="18"/>
      <c r="N16" s="18"/>
      <c r="O16" s="18"/>
      <c r="P16" s="18"/>
      <c r="Q16" s="18"/>
    </row>
    <row r="17" spans="6:24">
      <c r="F17" s="1" t="s">
        <v>16</v>
      </c>
      <c r="G17" s="17">
        <f>$C$11-(G13^2)/(2*$C$8)</f>
        <v>282.48466026247303</v>
      </c>
      <c r="H17" s="17">
        <f t="shared" ref="H17:Q17" si="8">$C$11-(H13^2)/(2*$C$8)</f>
        <v>281.19214124559005</v>
      </c>
      <c r="I17" s="17">
        <f t="shared" si="8"/>
        <v>279.50773419709805</v>
      </c>
      <c r="J17" s="17">
        <f t="shared" si="8"/>
        <v>277.28157800883662</v>
      </c>
      <c r="K17" s="17">
        <f t="shared" si="8"/>
        <v>274.29106988999837</v>
      </c>
      <c r="L17" s="17">
        <f t="shared" si="8"/>
        <v>270.19937944955757</v>
      </c>
      <c r="M17" s="17">
        <f t="shared" si="8"/>
        <v>264.48322344828949</v>
      </c>
      <c r="N17" s="17">
        <f t="shared" si="8"/>
        <v>256.30485105751438</v>
      </c>
      <c r="O17" s="17">
        <f t="shared" si="8"/>
        <v>244.27590882473322</v>
      </c>
      <c r="P17" s="17">
        <f t="shared" si="8"/>
        <v>226.00146381288329</v>
      </c>
      <c r="Q17" s="17">
        <f t="shared" si="8"/>
        <v>197.15152451177335</v>
      </c>
    </row>
    <row r="18" spans="6:24">
      <c r="F18" s="1" t="s">
        <v>17</v>
      </c>
      <c r="G18" s="17">
        <f>SQRT($C$7*$C$6*G17)</f>
        <v>336.88464360190028</v>
      </c>
      <c r="H18" s="17">
        <f t="shared" ref="H18:Q18" si="9">SQRT($C$7*$C$6*H17)</f>
        <v>336.11304589459371</v>
      </c>
      <c r="I18" s="17">
        <f t="shared" si="9"/>
        <v>335.10483568163181</v>
      </c>
      <c r="J18" s="17">
        <f t="shared" si="9"/>
        <v>333.76768658168902</v>
      </c>
      <c r="K18" s="17">
        <f t="shared" si="9"/>
        <v>331.96294924563739</v>
      </c>
      <c r="L18" s="17">
        <f t="shared" si="9"/>
        <v>329.47764544375053</v>
      </c>
      <c r="M18" s="17">
        <f t="shared" si="9"/>
        <v>325.97391220642726</v>
      </c>
      <c r="N18" s="17">
        <f t="shared" si="9"/>
        <v>320.89444059495298</v>
      </c>
      <c r="O18" s="17">
        <f t="shared" si="9"/>
        <v>313.27381721132053</v>
      </c>
      <c r="P18" s="17">
        <f t="shared" si="9"/>
        <v>301.32794245246328</v>
      </c>
      <c r="Q18" s="17">
        <f t="shared" si="9"/>
        <v>281.43872194328497</v>
      </c>
    </row>
    <row r="19" spans="6:24">
      <c r="F19" s="1" t="s">
        <v>18</v>
      </c>
      <c r="G19" s="17">
        <f>G13/G18</f>
        <v>0.31694438872950531</v>
      </c>
      <c r="H19" s="17">
        <f t="shared" ref="H19:Q19" si="10">H13/H18</f>
        <v>0.35199188374156831</v>
      </c>
      <c r="I19" s="17">
        <f t="shared" si="10"/>
        <v>0.39341650990231575</v>
      </c>
      <c r="J19" s="17">
        <f t="shared" si="10"/>
        <v>0.4429013582998057</v>
      </c>
      <c r="K19" s="17">
        <f t="shared" si="10"/>
        <v>0.50280572659237555</v>
      </c>
      <c r="L19" s="17">
        <f t="shared" si="10"/>
        <v>0.57650498240473735</v>
      </c>
      <c r="M19" s="17">
        <f t="shared" si="10"/>
        <v>0.66903184931765469</v>
      </c>
      <c r="N19" s="17">
        <f t="shared" si="10"/>
        <v>0.78830807766194766</v>
      </c>
      <c r="O19" s="17">
        <f t="shared" si="10"/>
        <v>0.94775875565952661</v>
      </c>
      <c r="P19" s="17">
        <f t="shared" si="10"/>
        <v>1.1726794993879039</v>
      </c>
      <c r="Q19" s="17">
        <f t="shared" si="10"/>
        <v>1.5192366181248829</v>
      </c>
    </row>
    <row r="20" spans="6:24">
      <c r="F20" s="2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</row>
    <row r="21" spans="6:24">
      <c r="F21" s="2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S21" s="3"/>
      <c r="T21" s="3"/>
      <c r="U21" s="3"/>
      <c r="V21" s="3"/>
      <c r="W21" s="3"/>
      <c r="X21" s="3"/>
    </row>
    <row r="22" spans="6:24">
      <c r="F22" s="2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S22" s="3"/>
      <c r="T22" s="3"/>
      <c r="U22" s="3"/>
      <c r="V22" s="3"/>
      <c r="W22" s="3"/>
      <c r="X22" s="3"/>
    </row>
    <row r="23" spans="6:24">
      <c r="F23" s="2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S23" s="3"/>
      <c r="T23" s="3"/>
      <c r="U23" s="3"/>
      <c r="V23" s="3"/>
      <c r="W23" s="3"/>
      <c r="X23" s="3"/>
    </row>
    <row r="24" spans="6:24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>
  <sheetPr codeName="Лист6"/>
  <dimension ref="B1:X24"/>
  <sheetViews>
    <sheetView topLeftCell="A4" zoomScale="70" zoomScaleNormal="70" workbookViewId="0">
      <selection activeCell="V47" sqref="V47"/>
    </sheetView>
  </sheetViews>
  <sheetFormatPr defaultRowHeight="15"/>
  <cols>
    <col min="7" max="7" width="9.7109375" bestFit="1" customWidth="1"/>
    <col min="8" max="17" width="9.5703125" bestFit="1" customWidth="1"/>
  </cols>
  <sheetData>
    <row r="1" spans="2:17">
      <c r="F1" s="1" t="s">
        <v>9</v>
      </c>
      <c r="G1" s="1">
        <v>1</v>
      </c>
      <c r="H1" s="1">
        <v>2</v>
      </c>
      <c r="I1" s="1">
        <v>3</v>
      </c>
      <c r="J1" s="1">
        <v>4</v>
      </c>
      <c r="K1" s="1">
        <v>5</v>
      </c>
      <c r="L1" s="1">
        <v>6</v>
      </c>
      <c r="M1" s="1">
        <v>7</v>
      </c>
      <c r="N1" s="1">
        <v>8</v>
      </c>
      <c r="O1" s="1">
        <v>9</v>
      </c>
      <c r="P1" s="1">
        <v>10</v>
      </c>
      <c r="Q1" s="1">
        <v>11</v>
      </c>
    </row>
    <row r="2" spans="2:17">
      <c r="F2" s="1" t="s">
        <v>10</v>
      </c>
      <c r="G2" s="10">
        <v>0</v>
      </c>
      <c r="H2" s="10">
        <f>G2+$C$4</f>
        <v>0.01</v>
      </c>
      <c r="I2" s="10">
        <f t="shared" ref="I2:Q2" si="0">H2+$C$4</f>
        <v>0.02</v>
      </c>
      <c r="J2" s="10">
        <f t="shared" si="0"/>
        <v>0.03</v>
      </c>
      <c r="K2" s="10">
        <f t="shared" si="0"/>
        <v>0.04</v>
      </c>
      <c r="L2" s="10">
        <f t="shared" si="0"/>
        <v>0.05</v>
      </c>
      <c r="M2" s="10">
        <f t="shared" si="0"/>
        <v>6.0000000000000005E-2</v>
      </c>
      <c r="N2" s="10">
        <f t="shared" si="0"/>
        <v>7.0000000000000007E-2</v>
      </c>
      <c r="O2" s="10">
        <f t="shared" si="0"/>
        <v>0.08</v>
      </c>
      <c r="P2" s="10">
        <f t="shared" si="0"/>
        <v>0.09</v>
      </c>
      <c r="Q2" s="10">
        <f t="shared" si="0"/>
        <v>9.9999999999999992E-2</v>
      </c>
    </row>
    <row r="3" spans="2:17">
      <c r="B3" s="1" t="s">
        <v>0</v>
      </c>
      <c r="C3" s="1">
        <v>0.1</v>
      </c>
      <c r="F3" s="1" t="s">
        <v>3</v>
      </c>
      <c r="G3" s="24">
        <v>0.08</v>
      </c>
      <c r="H3" s="11">
        <f>G3+($Q$3-$G$3)/10</f>
        <v>7.5999999999999998E-2</v>
      </c>
      <c r="I3" s="11">
        <f t="shared" ref="I3:P3" si="1">H3+($Q$3-$G$3)/10</f>
        <v>7.1999999999999995E-2</v>
      </c>
      <c r="J3" s="11">
        <f t="shared" si="1"/>
        <v>6.7999999999999991E-2</v>
      </c>
      <c r="K3" s="11">
        <f t="shared" si="1"/>
        <v>6.3999999999999987E-2</v>
      </c>
      <c r="L3" s="11">
        <f t="shared" si="1"/>
        <v>5.9999999999999984E-2</v>
      </c>
      <c r="M3" s="11">
        <f t="shared" si="1"/>
        <v>5.599999999999998E-2</v>
      </c>
      <c r="N3" s="11">
        <f t="shared" si="1"/>
        <v>5.1999999999999977E-2</v>
      </c>
      <c r="O3" s="11">
        <f t="shared" si="1"/>
        <v>4.7999999999999973E-2</v>
      </c>
      <c r="P3" s="11">
        <f t="shared" si="1"/>
        <v>4.399999999999997E-2</v>
      </c>
      <c r="Q3" s="24">
        <v>0.04</v>
      </c>
    </row>
    <row r="4" spans="2:17">
      <c r="B4" s="1" t="s">
        <v>1</v>
      </c>
      <c r="C4" s="1">
        <f>C3/10</f>
        <v>0.01</v>
      </c>
      <c r="F4" s="1" t="s">
        <v>11</v>
      </c>
      <c r="G4" s="10">
        <f>(PI()*(2*G3)^2)/4</f>
        <v>2.0106192982974676E-2</v>
      </c>
      <c r="H4" s="10">
        <f t="shared" ref="H4:Q4" si="2">(PI()*(2*H3)^2)/4</f>
        <v>1.8145839167134643E-2</v>
      </c>
      <c r="I4" s="10">
        <f t="shared" si="2"/>
        <v>1.6286016316209486E-2</v>
      </c>
      <c r="J4" s="10">
        <f t="shared" si="2"/>
        <v>1.4526724430199199E-2</v>
      </c>
      <c r="K4" s="10">
        <f t="shared" si="2"/>
        <v>1.2867963509103787E-2</v>
      </c>
      <c r="L4" s="10">
        <f t="shared" si="2"/>
        <v>1.1309733552923249E-2</v>
      </c>
      <c r="M4" s="10">
        <f t="shared" si="2"/>
        <v>9.8520345616575841E-3</v>
      </c>
      <c r="N4" s="10">
        <f t="shared" si="2"/>
        <v>8.4948665353067939E-3</v>
      </c>
      <c r="O4" s="10">
        <f t="shared" si="2"/>
        <v>7.2382294738708754E-3</v>
      </c>
      <c r="P4" s="10">
        <f t="shared" si="2"/>
        <v>6.0821233773498311E-3</v>
      </c>
      <c r="Q4" s="10">
        <f t="shared" si="2"/>
        <v>5.0265482457436689E-3</v>
      </c>
    </row>
    <row r="5" spans="2:17">
      <c r="F5" s="1" t="s">
        <v>12</v>
      </c>
      <c r="G5" s="11">
        <v>44.280058829103695</v>
      </c>
      <c r="H5" s="11">
        <v>49.167521397240662</v>
      </c>
      <c r="I5" s="11">
        <v>54.90800996055215</v>
      </c>
      <c r="J5" s="11">
        <v>61.776175505769835</v>
      </c>
      <c r="K5" s="11">
        <v>70.105343915275839</v>
      </c>
      <c r="L5" s="11">
        <v>80.375272411770609</v>
      </c>
      <c r="M5" s="11">
        <v>93.311035504256878</v>
      </c>
      <c r="N5" s="11">
        <v>110.08900148034917</v>
      </c>
      <c r="O5" s="11">
        <v>132.84483372608193</v>
      </c>
      <c r="P5" s="11">
        <v>166.34447275673128</v>
      </c>
      <c r="Q5" s="11">
        <v>421.41061851010818</v>
      </c>
    </row>
    <row r="6" spans="2:17">
      <c r="B6" s="1" t="s">
        <v>2</v>
      </c>
      <c r="C6" s="1">
        <v>1.4</v>
      </c>
      <c r="F6" s="1" t="s">
        <v>7</v>
      </c>
      <c r="G6" s="11">
        <v>345885.48181827401</v>
      </c>
      <c r="H6" s="11">
        <v>344879.25937080476</v>
      </c>
      <c r="I6" s="11">
        <v>343562.97041012999</v>
      </c>
      <c r="J6" s="11">
        <v>341797.63022535248</v>
      </c>
      <c r="K6" s="11">
        <v>339380.5659845976</v>
      </c>
      <c r="L6" s="11">
        <v>335988.65948717593</v>
      </c>
      <c r="M6" s="11">
        <v>331081.85058878252</v>
      </c>
      <c r="N6" s="11">
        <v>323696.64769306255</v>
      </c>
      <c r="O6" s="11">
        <v>311934.4041231263</v>
      </c>
      <c r="P6" s="11">
        <v>291317.57904759562</v>
      </c>
      <c r="Q6" s="11">
        <v>101325</v>
      </c>
    </row>
    <row r="7" spans="2:17">
      <c r="B7" s="1" t="s">
        <v>3</v>
      </c>
      <c r="C7" s="1">
        <v>286.97199999999998</v>
      </c>
      <c r="F7" s="1" t="s">
        <v>13</v>
      </c>
      <c r="G7" s="11">
        <v>4.1969391264855913</v>
      </c>
      <c r="H7" s="11">
        <v>4.1880453558893604</v>
      </c>
      <c r="I7" s="11">
        <v>4.176389567062591</v>
      </c>
      <c r="J7" s="11">
        <v>4.1607204320259426</v>
      </c>
      <c r="K7" s="11">
        <v>4.139204255460089</v>
      </c>
      <c r="L7" s="11">
        <v>4.1088992233295718</v>
      </c>
      <c r="M7" s="11">
        <v>4.0648478096841334</v>
      </c>
      <c r="N7" s="11">
        <v>3.9981069552022133</v>
      </c>
      <c r="O7" s="11">
        <v>3.890778917374957</v>
      </c>
      <c r="P7" s="11">
        <v>3.6996975473600591</v>
      </c>
      <c r="Q7" s="11">
        <v>1.7675767798836417</v>
      </c>
    </row>
    <row r="8" spans="2:17">
      <c r="B8" s="1" t="s">
        <v>4</v>
      </c>
      <c r="C8" s="1">
        <v>1004.4</v>
      </c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</row>
    <row r="9" spans="2:17"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</row>
    <row r="10" spans="2:17">
      <c r="B10" s="1" t="s">
        <v>5</v>
      </c>
      <c r="C10" s="1">
        <v>350000</v>
      </c>
      <c r="F10" s="1" t="s">
        <v>14</v>
      </c>
      <c r="G10" s="10">
        <f t="shared" ref="G10:Q10" si="3">G4*G7*G13</f>
        <v>3.7365151638484457</v>
      </c>
      <c r="H10" s="10">
        <f t="shared" si="3"/>
        <v>3.7364813273297557</v>
      </c>
      <c r="I10" s="10">
        <f t="shared" si="3"/>
        <v>3.7346488830186</v>
      </c>
      <c r="J10" s="10">
        <f t="shared" si="3"/>
        <v>3.7338523992900572</v>
      </c>
      <c r="K10" s="10">
        <f t="shared" si="3"/>
        <v>3.7340394825870904</v>
      </c>
      <c r="L10" s="10">
        <f t="shared" si="3"/>
        <v>3.7350992126599238</v>
      </c>
      <c r="M10" s="10">
        <f t="shared" si="3"/>
        <v>3.736846777463863</v>
      </c>
      <c r="N10" s="10">
        <f t="shared" si="3"/>
        <v>3.7390113973563137</v>
      </c>
      <c r="O10" s="10">
        <f t="shared" si="3"/>
        <v>3.7412347561835015</v>
      </c>
      <c r="P10" s="10">
        <f t="shared" si="3"/>
        <v>3.7430922732157503</v>
      </c>
      <c r="Q10" s="10">
        <f t="shared" si="3"/>
        <v>3.7441534079009555</v>
      </c>
    </row>
    <row r="11" spans="2:17">
      <c r="B11" s="1" t="s">
        <v>6</v>
      </c>
      <c r="C11" s="1">
        <v>288.16000000000003</v>
      </c>
      <c r="F11" s="1" t="s">
        <v>15</v>
      </c>
      <c r="G11" s="12">
        <v>0</v>
      </c>
      <c r="H11" s="12">
        <f>(H13)*(H10-I10)</f>
        <v>9.0095928994734759E-2</v>
      </c>
      <c r="I11" s="12">
        <f t="shared" ref="I11:P11" si="4">(I13)*(I10-J10)</f>
        <v>4.3733155832505331E-2</v>
      </c>
      <c r="J11" s="12">
        <f t="shared" si="4"/>
        <v>-1.1557287779604996E-2</v>
      </c>
      <c r="K11" s="12">
        <f t="shared" si="4"/>
        <v>-7.4292929905964158E-2</v>
      </c>
      <c r="L11" s="12">
        <f t="shared" si="4"/>
        <v>-0.14046158616873125</v>
      </c>
      <c r="M11" s="12">
        <f t="shared" si="4"/>
        <v>-0.20198388408330123</v>
      </c>
      <c r="N11" s="12">
        <f t="shared" si="4"/>
        <v>-0.24476841753475101</v>
      </c>
      <c r="O11" s="12">
        <f t="shared" si="4"/>
        <v>-0.2467623307109188</v>
      </c>
      <c r="P11" s="12">
        <f t="shared" si="4"/>
        <v>-0.17651417876380965</v>
      </c>
      <c r="Q11" s="21">
        <v>0</v>
      </c>
    </row>
    <row r="12" spans="2:17">
      <c r="B12" s="1" t="s">
        <v>7</v>
      </c>
      <c r="C12" s="1">
        <v>101325</v>
      </c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</row>
    <row r="13" spans="2:17">
      <c r="F13" s="1" t="s">
        <v>12</v>
      </c>
      <c r="G13" s="21">
        <f>(H4*H5*H7)/(G4*G7)</f>
        <v>44.279655388571626</v>
      </c>
      <c r="H13" s="13">
        <f t="shared" ref="H13:Q13" si="5">((G6-H6)/H7+G5*H5)^0.5</f>
        <v>49.167076154097323</v>
      </c>
      <c r="I13" s="13">
        <f t="shared" si="5"/>
        <v>54.907783128874669</v>
      </c>
      <c r="J13" s="13">
        <f t="shared" si="5"/>
        <v>61.776160474409025</v>
      </c>
      <c r="K13" s="13">
        <f t="shared" si="5"/>
        <v>70.105521972519099</v>
      </c>
      <c r="L13" s="13">
        <f t="shared" si="5"/>
        <v>80.375609449287566</v>
      </c>
      <c r="M13" s="13">
        <f t="shared" si="5"/>
        <v>93.311479205994601</v>
      </c>
      <c r="N13" s="13">
        <f t="shared" si="5"/>
        <v>110.08948017821383</v>
      </c>
      <c r="O13" s="13">
        <f t="shared" si="5"/>
        <v>132.8452587119364</v>
      </c>
      <c r="P13" s="13">
        <f t="shared" si="5"/>
        <v>166.34474513447597</v>
      </c>
      <c r="Q13" s="13">
        <f t="shared" si="5"/>
        <v>421.4106349888167</v>
      </c>
    </row>
    <row r="14" spans="2:17">
      <c r="B14" s="1" t="s">
        <v>8</v>
      </c>
      <c r="C14" s="1">
        <v>1500</v>
      </c>
      <c r="D14">
        <v>1500</v>
      </c>
      <c r="F14" s="1" t="s">
        <v>7</v>
      </c>
      <c r="G14" s="22">
        <f>C10-(G7*G13^2)/2</f>
        <v>345885.55615800864</v>
      </c>
      <c r="H14" s="14">
        <f>H6+H11</f>
        <v>344879.34946673375</v>
      </c>
      <c r="I14" s="14">
        <f t="shared" ref="I14:Q14" si="6">I6+I11</f>
        <v>343563.01414328581</v>
      </c>
      <c r="J14" s="14">
        <f t="shared" si="6"/>
        <v>341797.61866806471</v>
      </c>
      <c r="K14" s="14">
        <f t="shared" si="6"/>
        <v>339380.4916916677</v>
      </c>
      <c r="L14" s="14">
        <f t="shared" si="6"/>
        <v>335988.51902558975</v>
      </c>
      <c r="M14" s="14">
        <f t="shared" si="6"/>
        <v>331081.64860489842</v>
      </c>
      <c r="N14" s="14">
        <f t="shared" si="6"/>
        <v>323696.40292464499</v>
      </c>
      <c r="O14" s="14">
        <f t="shared" si="6"/>
        <v>311934.15736079559</v>
      </c>
      <c r="P14" s="14">
        <f t="shared" si="6"/>
        <v>291317.40253341687</v>
      </c>
      <c r="Q14" s="22">
        <f t="shared" si="6"/>
        <v>101325</v>
      </c>
    </row>
    <row r="15" spans="2:17">
      <c r="F15" s="1" t="s">
        <v>13</v>
      </c>
      <c r="G15" s="10">
        <f>G14/($C$7*G17)</f>
        <v>4.1969397685891989</v>
      </c>
      <c r="H15" s="10">
        <f t="shared" ref="H15:Q15" si="7">H14/($C$7*H17)</f>
        <v>4.188046131871439</v>
      </c>
      <c r="I15" s="10">
        <f t="shared" si="7"/>
        <v>4.1763899180255963</v>
      </c>
      <c r="J15" s="10">
        <f t="shared" si="7"/>
        <v>4.160720277900924</v>
      </c>
      <c r="K15" s="10">
        <f t="shared" si="7"/>
        <v>4.1392035294065339</v>
      </c>
      <c r="L15" s="10">
        <f t="shared" si="7"/>
        <v>4.1088978945059154</v>
      </c>
      <c r="M15" s="10">
        <f t="shared" si="7"/>
        <v>4.0648459201848013</v>
      </c>
      <c r="N15" s="10">
        <f t="shared" si="7"/>
        <v>3.9981046755183747</v>
      </c>
      <c r="O15" s="10">
        <f t="shared" si="7"/>
        <v>3.8907766223122979</v>
      </c>
      <c r="P15" s="10">
        <f t="shared" si="7"/>
        <v>3.6996959138968788</v>
      </c>
      <c r="Q15" s="10">
        <f t="shared" si="7"/>
        <v>1.7675768410625121</v>
      </c>
    </row>
    <row r="16" spans="2:17"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</row>
    <row r="17" spans="6:24">
      <c r="F17" s="1" t="s">
        <v>16</v>
      </c>
      <c r="G17" s="13">
        <f>$C$11-(G13^2)/(2*$C$8)</f>
        <v>287.18395067635873</v>
      </c>
      <c r="H17" s="13">
        <f t="shared" ref="H17:Q17" si="8">$C$11-(H13^2)/(2*$C$8)</f>
        <v>286.95659429632479</v>
      </c>
      <c r="I17" s="13">
        <f t="shared" si="8"/>
        <v>286.65917132211894</v>
      </c>
      <c r="J17" s="13">
        <f t="shared" si="8"/>
        <v>286.26021206543214</v>
      </c>
      <c r="K17" s="13">
        <f t="shared" si="8"/>
        <v>285.71337305304695</v>
      </c>
      <c r="L17" s="13">
        <f t="shared" si="8"/>
        <v>284.94403096657487</v>
      </c>
      <c r="M17" s="13">
        <f t="shared" si="8"/>
        <v>283.8255554800823</v>
      </c>
      <c r="N17" s="13">
        <f t="shared" si="8"/>
        <v>282.12669969837253</v>
      </c>
      <c r="O17" s="13">
        <f t="shared" si="8"/>
        <v>279.37472383400973</v>
      </c>
      <c r="P17" s="13">
        <f t="shared" si="8"/>
        <v>274.38532146861127</v>
      </c>
      <c r="Q17" s="13">
        <f t="shared" si="8"/>
        <v>199.75551807961088</v>
      </c>
    </row>
    <row r="18" spans="6:24">
      <c r="F18" s="1" t="s">
        <v>17</v>
      </c>
      <c r="G18" s="15">
        <f>SQRT($C$6*$C$7*G17)</f>
        <v>339.67521806998877</v>
      </c>
      <c r="H18" s="15">
        <f t="shared" ref="H18:Q18" si="9">SQRT($C$6*$C$7*H17)</f>
        <v>339.54073524360354</v>
      </c>
      <c r="I18" s="15">
        <f t="shared" si="9"/>
        <v>339.36472709713303</v>
      </c>
      <c r="J18" s="15">
        <f t="shared" si="9"/>
        <v>339.1284886404822</v>
      </c>
      <c r="K18" s="15">
        <f t="shared" si="9"/>
        <v>338.80441751619855</v>
      </c>
      <c r="L18" s="15">
        <f t="shared" si="9"/>
        <v>338.3479597047334</v>
      </c>
      <c r="M18" s="15">
        <f t="shared" si="9"/>
        <v>337.68325725466792</v>
      </c>
      <c r="N18" s="15">
        <f t="shared" si="9"/>
        <v>336.67112821294597</v>
      </c>
      <c r="O18" s="15">
        <f t="shared" si="9"/>
        <v>335.0250924144799</v>
      </c>
      <c r="P18" s="15">
        <f t="shared" si="9"/>
        <v>332.01997870833981</v>
      </c>
      <c r="Q18" s="15">
        <f t="shared" si="9"/>
        <v>283.29125780383504</v>
      </c>
    </row>
    <row r="19" spans="6:24">
      <c r="F19" s="1" t="s">
        <v>18</v>
      </c>
      <c r="G19" s="12">
        <f>G13/G18</f>
        <v>0.13035880462568208</v>
      </c>
      <c r="H19" s="12">
        <f t="shared" ref="H19:Q19" si="10">H13/H18</f>
        <v>0.14480464654358011</v>
      </c>
      <c r="I19" s="12">
        <f t="shared" si="10"/>
        <v>0.16179578708296033</v>
      </c>
      <c r="J19" s="12">
        <f t="shared" si="10"/>
        <v>0.18216151855027235</v>
      </c>
      <c r="K19" s="12">
        <f t="shared" si="10"/>
        <v>0.20692033027924522</v>
      </c>
      <c r="L19" s="12">
        <f t="shared" si="10"/>
        <v>0.23755310810630886</v>
      </c>
      <c r="M19" s="12">
        <f t="shared" si="10"/>
        <v>0.27632841487199533</v>
      </c>
      <c r="N19" s="12">
        <f t="shared" si="10"/>
        <v>0.32699412261030519</v>
      </c>
      <c r="O19" s="12">
        <f t="shared" si="10"/>
        <v>0.39652331040203237</v>
      </c>
      <c r="P19" s="12">
        <f t="shared" si="10"/>
        <v>0.50100823987040888</v>
      </c>
      <c r="Q19" s="12">
        <f t="shared" si="10"/>
        <v>1.4875525572364199</v>
      </c>
    </row>
    <row r="20" spans="6:24">
      <c r="F20" s="11" t="s">
        <v>19</v>
      </c>
      <c r="G20" s="11">
        <f>1-((($C$6-1)/($C$6+1))*G21^2)</f>
        <v>0.99671303011728174</v>
      </c>
      <c r="H20" s="11">
        <f t="shared" ref="H20:Q20" si="11">1-((($C$6-1)/($C$6+1))*H21^2)</f>
        <v>0.99597511360808921</v>
      </c>
      <c r="I20" s="11">
        <f t="shared" si="11"/>
        <v>0.99502489977703212</v>
      </c>
      <c r="J20" s="11">
        <f t="shared" si="11"/>
        <v>0.99377646509452411</v>
      </c>
      <c r="K20" s="11">
        <f t="shared" si="11"/>
        <v>0.99211224037940104</v>
      </c>
      <c r="L20" s="11">
        <f t="shared" si="11"/>
        <v>0.98985832374993499</v>
      </c>
      <c r="M20" s="11">
        <f t="shared" si="11"/>
        <v>0.98675172838748226</v>
      </c>
      <c r="N20" s="11">
        <f t="shared" si="11"/>
        <v>0.98238248075144408</v>
      </c>
      <c r="O20" s="11">
        <f t="shared" si="11"/>
        <v>0.9760767829084267</v>
      </c>
      <c r="P20" s="11">
        <f t="shared" si="11"/>
        <v>0.96657707554561456</v>
      </c>
      <c r="Q20" s="11">
        <f t="shared" si="11"/>
        <v>0.9184310555788946</v>
      </c>
    </row>
    <row r="21" spans="6:24">
      <c r="F21" s="11" t="s">
        <v>20</v>
      </c>
      <c r="G21" s="11">
        <f>SQRT(((($C$6+1)/2)*G19^2)/(1+2*G19^2))</f>
        <v>0.14043439499036495</v>
      </c>
      <c r="H21" s="11">
        <f>SQRT(((($C$6+1)/2)*H19^2)/(1+2*H19^2))</f>
        <v>0.15540050949551171</v>
      </c>
      <c r="I21" s="11">
        <f t="shared" ref="I21:Q21" si="12">SQRT(((($C$6+1)/2)*I19^2)/(1+2*I19^2))</f>
        <v>0.17277326569179402</v>
      </c>
      <c r="J21" s="11">
        <f t="shared" si="12"/>
        <v>0.19323873688485746</v>
      </c>
      <c r="K21" s="11">
        <f t="shared" si="12"/>
        <v>0.21754667941293379</v>
      </c>
      <c r="L21" s="11">
        <f t="shared" si="12"/>
        <v>0.24667804422037701</v>
      </c>
      <c r="M21" s="11">
        <f t="shared" si="12"/>
        <v>0.28193905312160311</v>
      </c>
      <c r="N21" s="11">
        <f t="shared" si="12"/>
        <v>0.32512323123907294</v>
      </c>
      <c r="O21" s="11">
        <f t="shared" si="12"/>
        <v>0.37886581074232623</v>
      </c>
      <c r="P21" s="11">
        <f t="shared" si="12"/>
        <v>0.4478141877233377</v>
      </c>
      <c r="Q21" s="11">
        <f t="shared" si="12"/>
        <v>0.69958106501436468</v>
      </c>
      <c r="S21" s="3"/>
      <c r="T21" s="3"/>
      <c r="U21" s="3"/>
      <c r="V21" s="3"/>
      <c r="W21" s="3"/>
      <c r="X21" s="3"/>
    </row>
    <row r="22" spans="6:24">
      <c r="F22" s="11" t="s">
        <v>21</v>
      </c>
      <c r="G22" s="11">
        <f>(1-((($C$6-1)/($C$6+1))*G21^2))^($C$6/($C$6-1))</f>
        <v>0.9885427960059292</v>
      </c>
      <c r="H22" s="11">
        <f t="shared" ref="H22:Q22" si="13">(1-((($C$6-1)/($C$6+1))*H21^2))^($C$6/($C$6-1))</f>
        <v>0.98598362880403378</v>
      </c>
      <c r="I22" s="11">
        <f t="shared" si="13"/>
        <v>0.98269516836177517</v>
      </c>
      <c r="J22" s="11">
        <f t="shared" si="13"/>
        <v>0.97838655513115991</v>
      </c>
      <c r="K22" s="11">
        <f t="shared" si="13"/>
        <v>0.97266396715912518</v>
      </c>
      <c r="L22" s="11">
        <f t="shared" si="13"/>
        <v>0.96495183870945589</v>
      </c>
      <c r="M22" s="11">
        <f t="shared" si="13"/>
        <v>0.95439385677830646</v>
      </c>
      <c r="N22" s="11">
        <f t="shared" si="13"/>
        <v>0.93968464691644049</v>
      </c>
      <c r="O22" s="11">
        <f t="shared" si="13"/>
        <v>0.91874278065402615</v>
      </c>
      <c r="P22" s="11">
        <f t="shared" si="13"/>
        <v>0.88782571020734091</v>
      </c>
      <c r="Q22" s="11">
        <f t="shared" si="13"/>
        <v>0.74244273422226659</v>
      </c>
      <c r="S22" s="3"/>
      <c r="T22" s="3"/>
      <c r="U22" s="3"/>
      <c r="V22" s="3"/>
      <c r="W22" s="3"/>
      <c r="X22" s="3"/>
    </row>
    <row r="23" spans="6:24">
      <c r="F23" s="11" t="s">
        <v>5</v>
      </c>
      <c r="G23" s="11">
        <f>G14/G22</f>
        <v>349894.36730054737</v>
      </c>
      <c r="H23" s="11">
        <f t="shared" ref="H23:Q23" si="14">H14/H22</f>
        <v>349782.02415496617</v>
      </c>
      <c r="I23" s="11">
        <f t="shared" si="14"/>
        <v>349613.00839204341</v>
      </c>
      <c r="J23" s="11">
        <f t="shared" si="14"/>
        <v>349348.23754016554</v>
      </c>
      <c r="K23" s="11">
        <f t="shared" si="14"/>
        <v>348918.54037001246</v>
      </c>
      <c r="L23" s="11">
        <f t="shared" si="14"/>
        <v>348192.00870682509</v>
      </c>
      <c r="M23" s="11">
        <f t="shared" si="14"/>
        <v>346902.53531441628</v>
      </c>
      <c r="N23" s="11">
        <f t="shared" si="14"/>
        <v>344473.44009168324</v>
      </c>
      <c r="O23" s="11">
        <f t="shared" si="14"/>
        <v>339522.83917674847</v>
      </c>
      <c r="P23" s="11">
        <f t="shared" si="14"/>
        <v>328124.5397425844</v>
      </c>
      <c r="Q23" s="11">
        <f t="shared" si="14"/>
        <v>136475.17219781442</v>
      </c>
      <c r="S23" s="3"/>
      <c r="T23" s="3"/>
      <c r="U23" s="3"/>
      <c r="V23" s="3"/>
      <c r="W23" s="3"/>
      <c r="X23" s="3"/>
    </row>
    <row r="24" spans="6:24">
      <c r="S24" s="3"/>
      <c r="T24" s="3"/>
      <c r="U24" s="3"/>
      <c r="V24" s="3"/>
      <c r="W24" s="3"/>
      <c r="X24" s="3"/>
    </row>
  </sheetData>
  <pageMargins left="0.7" right="0.7" top="0.75" bottom="0.75" header="0.3" footer="0.3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6</vt:i4>
      </vt:variant>
    </vt:vector>
  </HeadingPairs>
  <TitlesOfParts>
    <vt:vector size="6" baseType="lpstr">
      <vt:lpstr>const_p135</vt:lpstr>
      <vt:lpstr>var_p135</vt:lpstr>
      <vt:lpstr>const_p105</vt:lpstr>
      <vt:lpstr>var_p105</vt:lpstr>
      <vt:lpstr>const_M1,5</vt:lpstr>
      <vt:lpstr>var_M1,5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Пользователь Windows</dc:creator>
  <cp:lastModifiedBy>Полина Улановская</cp:lastModifiedBy>
  <dcterms:created xsi:type="dcterms:W3CDTF">2021-05-23T09:38:23Z</dcterms:created>
  <dcterms:modified xsi:type="dcterms:W3CDTF">2021-05-23T12:26:22Z</dcterms:modified>
</cp:coreProperties>
</file>